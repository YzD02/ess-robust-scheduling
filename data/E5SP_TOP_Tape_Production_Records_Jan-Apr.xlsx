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jhnny_kim_mail_utoronto_ca/Documents/Documents/SamjinLND/documents/"/>
    </mc:Choice>
  </mc:AlternateContent>
  <xr:revisionPtr revIDLastSave="0" documentId="8_{B2E8ACA9-1DB4-4F09-B803-5E0B2AD863F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5SP TOP (Tape) (Jan)" sheetId="1" r:id="rId1"/>
    <sheet name="E5SP TOP (Tape) (Feb)" sheetId="2" r:id="rId2"/>
    <sheet name="E5SP TOP (Tape) (Mar)" sheetId="3" r:id="rId3"/>
    <sheet name="E5SP TOP (Tape) (Apr)" sheetId="4" r:id="rId4"/>
    <sheet name="Under-Achievement Reasons" sheetId="5" r:id="rId5"/>
    <sheet name="Automation Results (Jan-Apr)" sheetId="6" r:id="rId6"/>
  </sheets>
  <externalReferences>
    <externalReference r:id="rId7"/>
    <externalReference r:id="rId8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D64" i="6" l="1"/>
  <c r="EE64" i="6" s="1"/>
  <c r="EE63" i="6"/>
  <c r="ED63" i="6"/>
  <c r="ET58" i="6"/>
  <c r="ES58" i="6"/>
  <c r="ER58" i="6"/>
  <c r="DF58" i="6"/>
  <c r="DE58" i="6"/>
  <c r="DD58" i="6"/>
  <c r="DC58" i="6"/>
  <c r="DB58" i="6"/>
  <c r="DA58" i="6"/>
  <c r="CZ58" i="6"/>
  <c r="CX58" i="6"/>
  <c r="CU58" i="6"/>
  <c r="CT58" i="6"/>
  <c r="CS58" i="6"/>
  <c r="CQ58" i="6"/>
  <c r="CP58" i="6"/>
  <c r="CO58" i="6"/>
  <c r="CN58" i="6"/>
  <c r="CM58" i="6"/>
  <c r="CH58" i="6"/>
  <c r="CG58" i="6"/>
  <c r="CF58" i="6"/>
  <c r="CD58" i="6"/>
  <c r="BZ58" i="6"/>
  <c r="BY58" i="6"/>
  <c r="BW58" i="6"/>
  <c r="BU58" i="6"/>
  <c r="BS58" i="6"/>
  <c r="BR58" i="6"/>
  <c r="BO58" i="6"/>
  <c r="BN58" i="6"/>
  <c r="BM58" i="6"/>
  <c r="BL58" i="6"/>
  <c r="BK58" i="6"/>
  <c r="BI58" i="6"/>
  <c r="BH58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N58" i="6"/>
  <c r="M58" i="6"/>
  <c r="L58" i="6"/>
  <c r="K58" i="6"/>
  <c r="I58" i="6"/>
  <c r="D58" i="6"/>
  <c r="EQ57" i="6"/>
  <c r="EO57" i="6"/>
  <c r="EM57" i="6"/>
  <c r="EK57" i="6"/>
  <c r="EJ57" i="6"/>
  <c r="EI57" i="6"/>
  <c r="EH57" i="6"/>
  <c r="EG57" i="6"/>
  <c r="FB57" i="6" s="1"/>
  <c r="EF57" i="6"/>
  <c r="EE57" i="6"/>
  <c r="EC57" i="6"/>
  <c r="EB57" i="6"/>
  <c r="DZ57" i="6"/>
  <c r="DY57" i="6"/>
  <c r="DX57" i="6"/>
  <c r="DU57" i="6"/>
  <c r="DS57" i="6"/>
  <c r="DQ57" i="6"/>
  <c r="DP57" i="6"/>
  <c r="DO57" i="6"/>
  <c r="DN57" i="6"/>
  <c r="DM57" i="6"/>
  <c r="DL57" i="6"/>
  <c r="DK57" i="6"/>
  <c r="DJ57" i="6"/>
  <c r="DI57" i="6"/>
  <c r="DH57" i="6"/>
  <c r="EV57" i="6" s="1"/>
  <c r="CJ57" i="6"/>
  <c r="DW57" i="6" s="1"/>
  <c r="CE57" i="6"/>
  <c r="EP57" i="6" s="1"/>
  <c r="FD57" i="6" s="1"/>
  <c r="CC57" i="6"/>
  <c r="BT57" i="6"/>
  <c r="BJ57" i="6"/>
  <c r="BJ58" i="6" s="1"/>
  <c r="O57" i="6"/>
  <c r="O58" i="6" s="1"/>
  <c r="J57" i="6"/>
  <c r="ED57" i="6" s="1"/>
  <c r="EP56" i="6"/>
  <c r="EM56" i="6"/>
  <c r="EL56" i="6"/>
  <c r="EK56" i="6"/>
  <c r="EJ56" i="6"/>
  <c r="EI56" i="6"/>
  <c r="EH56" i="6"/>
  <c r="EG56" i="6"/>
  <c r="FB56" i="6" s="1"/>
  <c r="EF56" i="6"/>
  <c r="EE56" i="6"/>
  <c r="ED56" i="6"/>
  <c r="EC56" i="6"/>
  <c r="EB56" i="6"/>
  <c r="DX56" i="6"/>
  <c r="DV56" i="6"/>
  <c r="DR56" i="6"/>
  <c r="DQ56" i="6"/>
  <c r="DP56" i="6"/>
  <c r="DO56" i="6"/>
  <c r="DN56" i="6"/>
  <c r="DM56" i="6"/>
  <c r="EW56" i="6" s="1"/>
  <c r="DL56" i="6"/>
  <c r="DK56" i="6"/>
  <c r="DK58" i="6" s="1"/>
  <c r="DJ56" i="6"/>
  <c r="DI56" i="6"/>
  <c r="DH56" i="6"/>
  <c r="EV56" i="6" s="1"/>
  <c r="CY56" i="6"/>
  <c r="CW56" i="6"/>
  <c r="CV56" i="6"/>
  <c r="CR56" i="6"/>
  <c r="CR58" i="6" s="1"/>
  <c r="CL56" i="6"/>
  <c r="CK56" i="6"/>
  <c r="CJ56" i="6"/>
  <c r="CJ58" i="6" s="1"/>
  <c r="CI56" i="6"/>
  <c r="CC56" i="6"/>
  <c r="CC58" i="6" s="1"/>
  <c r="CB56" i="6"/>
  <c r="BX56" i="6"/>
  <c r="BV56" i="6"/>
  <c r="EN56" i="6" s="1"/>
  <c r="BQ56" i="6"/>
  <c r="BQ58" i="6" s="1"/>
  <c r="BP56" i="6"/>
  <c r="EQ55" i="6"/>
  <c r="EP55" i="6"/>
  <c r="EO55" i="6"/>
  <c r="EN55" i="6"/>
  <c r="EM55" i="6"/>
  <c r="EM58" i="6" s="1"/>
  <c r="EL55" i="6"/>
  <c r="EK55" i="6"/>
  <c r="EK58" i="6" s="1"/>
  <c r="EJ55" i="6"/>
  <c r="EJ58" i="6" s="1"/>
  <c r="EI55" i="6"/>
  <c r="EI58" i="6" s="1"/>
  <c r="EH55" i="6"/>
  <c r="EG55" i="6"/>
  <c r="EF55" i="6"/>
  <c r="EF58" i="6" s="1"/>
  <c r="EE55" i="6"/>
  <c r="ED55" i="6"/>
  <c r="EB55" i="6"/>
  <c r="DY55" i="6"/>
  <c r="DX55" i="6"/>
  <c r="DX58" i="6" s="1"/>
  <c r="DW55" i="6"/>
  <c r="DV55" i="6"/>
  <c r="DU55" i="6"/>
  <c r="DR55" i="6"/>
  <c r="DQ55" i="6"/>
  <c r="DP55" i="6"/>
  <c r="DP58" i="6" s="1"/>
  <c r="DO55" i="6"/>
  <c r="DN55" i="6"/>
  <c r="DM55" i="6"/>
  <c r="DM58" i="6" s="1"/>
  <c r="DL55" i="6"/>
  <c r="DL58" i="6" s="1"/>
  <c r="DK55" i="6"/>
  <c r="DJ55" i="6"/>
  <c r="DJ58" i="6" s="1"/>
  <c r="DH55" i="6"/>
  <c r="CY55" i="6"/>
  <c r="CY58" i="6" s="1"/>
  <c r="CW55" i="6"/>
  <c r="CW58" i="6" s="1"/>
  <c r="CV55" i="6"/>
  <c r="CV58" i="6" s="1"/>
  <c r="CL55" i="6"/>
  <c r="CL58" i="6" s="1"/>
  <c r="CK55" i="6"/>
  <c r="CK58" i="6" s="1"/>
  <c r="CI55" i="6"/>
  <c r="CE55" i="6"/>
  <c r="CA55" i="6"/>
  <c r="CA58" i="6" s="1"/>
  <c r="BX55" i="6"/>
  <c r="BV55" i="6"/>
  <c r="BV58" i="6" s="1"/>
  <c r="BP55" i="6"/>
  <c r="DS55" i="6" s="1"/>
  <c r="H55" i="6"/>
  <c r="H58" i="6" s="1"/>
  <c r="G55" i="6"/>
  <c r="G58" i="6" s="1"/>
  <c r="F55" i="6"/>
  <c r="F58" i="6" s="1"/>
  <c r="E55" i="6"/>
  <c r="ET54" i="6"/>
  <c r="ES54" i="6"/>
  <c r="ER54" i="6"/>
  <c r="DV54" i="6"/>
  <c r="DK54" i="6"/>
  <c r="DF54" i="6"/>
  <c r="DE54" i="6"/>
  <c r="DD54" i="6"/>
  <c r="DC54" i="6"/>
  <c r="DB54" i="6"/>
  <c r="DA54" i="6"/>
  <c r="CZ54" i="6"/>
  <c r="CX54" i="6"/>
  <c r="CW54" i="6"/>
  <c r="CU54" i="6"/>
  <c r="CT54" i="6"/>
  <c r="CS54" i="6"/>
  <c r="CQ54" i="6"/>
  <c r="CP54" i="6"/>
  <c r="CO54" i="6"/>
  <c r="CN54" i="6"/>
  <c r="CM54" i="6"/>
  <c r="CK54" i="6"/>
  <c r="CH54" i="6"/>
  <c r="CG54" i="6"/>
  <c r="CF54" i="6"/>
  <c r="CE54" i="6"/>
  <c r="CD54" i="6"/>
  <c r="BZ54" i="6"/>
  <c r="BY54" i="6"/>
  <c r="BS54" i="6"/>
  <c r="BR54" i="6"/>
  <c r="BQ54" i="6"/>
  <c r="BO54" i="6"/>
  <c r="BL54" i="6"/>
  <c r="BG54" i="6"/>
  <c r="BE54" i="6"/>
  <c r="BD54" i="6"/>
  <c r="BA54" i="6"/>
  <c r="AZ54" i="6"/>
  <c r="AY54" i="6"/>
  <c r="AX54" i="6"/>
  <c r="AW54" i="6"/>
  <c r="AT54" i="6"/>
  <c r="AS54" i="6"/>
  <c r="AQ54" i="6"/>
  <c r="AP54" i="6"/>
  <c r="AM54" i="6"/>
  <c r="AL54" i="6"/>
  <c r="AK54" i="6"/>
  <c r="AJ54" i="6"/>
  <c r="AI54" i="6"/>
  <c r="AH54" i="6"/>
  <c r="AE54" i="6"/>
  <c r="AC54" i="6"/>
  <c r="AA54" i="6"/>
  <c r="U54" i="6"/>
  <c r="EQ53" i="6"/>
  <c r="EI53" i="6"/>
  <c r="DZ53" i="6"/>
  <c r="DY53" i="6"/>
  <c r="DN53" i="6"/>
  <c r="DL53" i="6"/>
  <c r="CY53" i="6"/>
  <c r="CW53" i="6"/>
  <c r="CV53" i="6"/>
  <c r="CV54" i="6" s="1"/>
  <c r="CR53" i="6"/>
  <c r="DX53" i="6" s="1"/>
  <c r="CL53" i="6"/>
  <c r="CJ53" i="6"/>
  <c r="CJ54" i="6" s="1"/>
  <c r="CI53" i="6"/>
  <c r="CE53" i="6"/>
  <c r="CD53" i="6"/>
  <c r="CC53" i="6"/>
  <c r="DV53" i="6" s="1"/>
  <c r="CB53" i="6"/>
  <c r="CA53" i="6"/>
  <c r="BX53" i="6"/>
  <c r="BW53" i="6"/>
  <c r="BW54" i="6" s="1"/>
  <c r="BV53" i="6"/>
  <c r="DT53" i="6" s="1"/>
  <c r="BU53" i="6"/>
  <c r="BT53" i="6"/>
  <c r="EN53" i="6" s="1"/>
  <c r="BP53" i="6"/>
  <c r="BO53" i="6"/>
  <c r="BN53" i="6"/>
  <c r="BN54" i="6" s="1"/>
  <c r="BM53" i="6"/>
  <c r="EM53" i="6" s="1"/>
  <c r="BJ53" i="6"/>
  <c r="BJ54" i="6" s="1"/>
  <c r="BI53" i="6"/>
  <c r="BH53" i="6"/>
  <c r="BG53" i="6"/>
  <c r="BF53" i="6"/>
  <c r="EL53" i="6" s="1"/>
  <c r="BC53" i="6"/>
  <c r="BA53" i="6"/>
  <c r="DQ53" i="6" s="1"/>
  <c r="AZ53" i="6"/>
  <c r="AV53" i="6"/>
  <c r="AU53" i="6"/>
  <c r="AU54" i="6" s="1"/>
  <c r="AT53" i="6"/>
  <c r="AS53" i="6"/>
  <c r="EJ53" i="6" s="1"/>
  <c r="AR53" i="6"/>
  <c r="AO53" i="6"/>
  <c r="AN53" i="6"/>
  <c r="DO53" i="6" s="1"/>
  <c r="AI53" i="6"/>
  <c r="AH53" i="6"/>
  <c r="AG53" i="6"/>
  <c r="AF53" i="6"/>
  <c r="AE53" i="6"/>
  <c r="AD53" i="6"/>
  <c r="EH53" i="6" s="1"/>
  <c r="AC53" i="6"/>
  <c r="AB53" i="6"/>
  <c r="AA53" i="6"/>
  <c r="Z53" i="6"/>
  <c r="Z54" i="6" s="1"/>
  <c r="Y53" i="6"/>
  <c r="X53" i="6"/>
  <c r="W53" i="6"/>
  <c r="V53" i="6"/>
  <c r="U53" i="6"/>
  <c r="T53" i="6"/>
  <c r="EF53" i="6" s="1"/>
  <c r="S53" i="6"/>
  <c r="R53" i="6"/>
  <c r="Q53" i="6"/>
  <c r="EE53" i="6" s="1"/>
  <c r="P53" i="6"/>
  <c r="O53" i="6"/>
  <c r="DK53" i="6" s="1"/>
  <c r="N53" i="6"/>
  <c r="M53" i="6"/>
  <c r="L53" i="6"/>
  <c r="K53" i="6"/>
  <c r="J53" i="6"/>
  <c r="ED53" i="6" s="1"/>
  <c r="I53" i="6"/>
  <c r="H53" i="6"/>
  <c r="G53" i="6"/>
  <c r="F53" i="6"/>
  <c r="E53" i="6"/>
  <c r="D53" i="6"/>
  <c r="EP52" i="6"/>
  <c r="EO52" i="6"/>
  <c r="EJ52" i="6"/>
  <c r="EG52" i="6"/>
  <c r="ED52" i="6"/>
  <c r="EB52" i="6"/>
  <c r="DY52" i="6"/>
  <c r="DY54" i="6" s="1"/>
  <c r="DX52" i="6"/>
  <c r="DX54" i="6" s="1"/>
  <c r="DS52" i="6"/>
  <c r="DQ52" i="6"/>
  <c r="DI52" i="6"/>
  <c r="DH52" i="6"/>
  <c r="CY52" i="6"/>
  <c r="CY54" i="6" s="1"/>
  <c r="CW52" i="6"/>
  <c r="DZ52" i="6" s="1"/>
  <c r="DZ54" i="6" s="1"/>
  <c r="CV52" i="6"/>
  <c r="CR52" i="6"/>
  <c r="CR54" i="6" s="1"/>
  <c r="CL52" i="6"/>
  <c r="CL54" i="6" s="1"/>
  <c r="CK52" i="6"/>
  <c r="CI52" i="6"/>
  <c r="CD52" i="6"/>
  <c r="DV52" i="6" s="1"/>
  <c r="CC52" i="6"/>
  <c r="CB52" i="6"/>
  <c r="CA52" i="6"/>
  <c r="DU52" i="6" s="1"/>
  <c r="BX52" i="6"/>
  <c r="BX54" i="6" s="1"/>
  <c r="BW52" i="6"/>
  <c r="BV52" i="6"/>
  <c r="BU52" i="6"/>
  <c r="BU54" i="6" s="1"/>
  <c r="BT52" i="6"/>
  <c r="BP52" i="6"/>
  <c r="BP54" i="6" s="1"/>
  <c r="BO52" i="6"/>
  <c r="BN52" i="6"/>
  <c r="BM52" i="6"/>
  <c r="EM52" i="6" s="1"/>
  <c r="EM54" i="6" s="1"/>
  <c r="BK52" i="6"/>
  <c r="BK54" i="6" s="1"/>
  <c r="BJ52" i="6"/>
  <c r="BI52" i="6"/>
  <c r="BI54" i="6" s="1"/>
  <c r="BH52" i="6"/>
  <c r="BH54" i="6" s="1"/>
  <c r="BG52" i="6"/>
  <c r="BF52" i="6"/>
  <c r="BC52" i="6"/>
  <c r="BB52" i="6"/>
  <c r="BB54" i="6" s="1"/>
  <c r="BA52" i="6"/>
  <c r="AZ52" i="6"/>
  <c r="AV52" i="6"/>
  <c r="AU52" i="6"/>
  <c r="DP52" i="6" s="1"/>
  <c r="AT52" i="6"/>
  <c r="AS52" i="6"/>
  <c r="AR52" i="6"/>
  <c r="AR54" i="6" s="1"/>
  <c r="AP52" i="6"/>
  <c r="AO52" i="6"/>
  <c r="AO54" i="6" s="1"/>
  <c r="AN52" i="6"/>
  <c r="AN54" i="6" s="1"/>
  <c r="AI52" i="6"/>
  <c r="EH52" i="6" s="1"/>
  <c r="EH54" i="6" s="1"/>
  <c r="AH52" i="6"/>
  <c r="AG52" i="6"/>
  <c r="AG54" i="6" s="1"/>
  <c r="AF52" i="6"/>
  <c r="AF54" i="6" s="1"/>
  <c r="AE52" i="6"/>
  <c r="AD52" i="6"/>
  <c r="AC52" i="6"/>
  <c r="AB52" i="6"/>
  <c r="AA52" i="6"/>
  <c r="Z52" i="6"/>
  <c r="DM52" i="6" s="1"/>
  <c r="Y52" i="6"/>
  <c r="Y54" i="6" s="1"/>
  <c r="X52" i="6"/>
  <c r="X54" i="6" s="1"/>
  <c r="W52" i="6"/>
  <c r="W54" i="6" s="1"/>
  <c r="V52" i="6"/>
  <c r="V54" i="6" s="1"/>
  <c r="U52" i="6"/>
  <c r="DL52" i="6" s="1"/>
  <c r="DL54" i="6" s="1"/>
  <c r="T52" i="6"/>
  <c r="T54" i="6" s="1"/>
  <c r="S52" i="6"/>
  <c r="DK52" i="6" s="1"/>
  <c r="R52" i="6"/>
  <c r="R54" i="6" s="1"/>
  <c r="Q52" i="6"/>
  <c r="Q54" i="6" s="1"/>
  <c r="P52" i="6"/>
  <c r="P54" i="6" s="1"/>
  <c r="O52" i="6"/>
  <c r="N52" i="6"/>
  <c r="N54" i="6" s="1"/>
  <c r="M52" i="6"/>
  <c r="M54" i="6" s="1"/>
  <c r="L52" i="6"/>
  <c r="K52" i="6"/>
  <c r="K54" i="6" s="1"/>
  <c r="J52" i="6"/>
  <c r="I52" i="6"/>
  <c r="I54" i="6" s="1"/>
  <c r="H52" i="6"/>
  <c r="H54" i="6" s="1"/>
  <c r="G52" i="6"/>
  <c r="G54" i="6" s="1"/>
  <c r="F52" i="6"/>
  <c r="F54" i="6" s="1"/>
  <c r="E52" i="6"/>
  <c r="E54" i="6" s="1"/>
  <c r="D52" i="6"/>
  <c r="D54" i="6" s="1"/>
  <c r="ET34" i="6"/>
  <c r="ES34" i="6"/>
  <c r="EL34" i="6"/>
  <c r="EH34" i="6"/>
  <c r="EG34" i="6"/>
  <c r="DW34" i="6"/>
  <c r="DF34" i="6"/>
  <c r="DE34" i="6"/>
  <c r="DD34" i="6"/>
  <c r="DC34" i="6"/>
  <c r="DB34" i="6"/>
  <c r="DA34" i="6"/>
  <c r="CZ34" i="6"/>
  <c r="CY34" i="6"/>
  <c r="CX34" i="6"/>
  <c r="CW34" i="6"/>
  <c r="CV34" i="6"/>
  <c r="CU34" i="6"/>
  <c r="CT34" i="6"/>
  <c r="CS34" i="6"/>
  <c r="CR34" i="6"/>
  <c r="CQ34" i="6"/>
  <c r="CP34" i="6"/>
  <c r="CO34" i="6"/>
  <c r="CN34" i="6"/>
  <c r="CM34" i="6"/>
  <c r="CL34" i="6"/>
  <c r="CK34" i="6"/>
  <c r="CJ34" i="6"/>
  <c r="CI34" i="6"/>
  <c r="CH34" i="6"/>
  <c r="CG34" i="6"/>
  <c r="CF34" i="6"/>
  <c r="CE34" i="6"/>
  <c r="CD34" i="6"/>
  <c r="CC34" i="6"/>
  <c r="CB34" i="6"/>
  <c r="CA34" i="6"/>
  <c r="BZ34" i="6"/>
  <c r="BY34" i="6"/>
  <c r="BX34" i="6"/>
  <c r="BW34" i="6"/>
  <c r="BV34" i="6"/>
  <c r="BU34" i="6"/>
  <c r="BT34" i="6"/>
  <c r="BS34" i="6"/>
  <c r="BR34" i="6"/>
  <c r="BQ34" i="6"/>
  <c r="BP34" i="6"/>
  <c r="BO34" i="6"/>
  <c r="BN34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ET33" i="6"/>
  <c r="ES33" i="6"/>
  <c r="EQ33" i="6"/>
  <c r="EO33" i="6"/>
  <c r="EL33" i="6"/>
  <c r="EG33" i="6"/>
  <c r="EE33" i="6"/>
  <c r="ED33" i="6"/>
  <c r="DZ33" i="6"/>
  <c r="DN33" i="6"/>
  <c r="DM33" i="6"/>
  <c r="DJ33" i="6"/>
  <c r="DH33" i="6"/>
  <c r="DF33" i="6"/>
  <c r="DE33" i="6"/>
  <c r="DD33" i="6"/>
  <c r="DC33" i="6"/>
  <c r="DB33" i="6"/>
  <c r="DA33" i="6"/>
  <c r="CZ33" i="6"/>
  <c r="CY33" i="6"/>
  <c r="CX33" i="6"/>
  <c r="CW33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I33" i="6"/>
  <c r="CH33" i="6"/>
  <c r="CG33" i="6"/>
  <c r="CF33" i="6"/>
  <c r="CE33" i="6"/>
  <c r="CD33" i="6"/>
  <c r="CC33" i="6"/>
  <c r="CB33" i="6"/>
  <c r="CA33" i="6"/>
  <c r="BZ33" i="6"/>
  <c r="BY33" i="6"/>
  <c r="BX33" i="6"/>
  <c r="BW33" i="6"/>
  <c r="BV33" i="6"/>
  <c r="BU33" i="6"/>
  <c r="BT33" i="6"/>
  <c r="BS33" i="6"/>
  <c r="BR33" i="6"/>
  <c r="BQ33" i="6"/>
  <c r="BP33" i="6"/>
  <c r="BO33" i="6"/>
  <c r="BN33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FC32" i="6"/>
  <c r="EY32" i="6"/>
  <c r="ER32" i="6"/>
  <c r="EQ32" i="6"/>
  <c r="EQ34" i="6" s="1"/>
  <c r="EP32" i="6"/>
  <c r="EO32" i="6"/>
  <c r="EN32" i="6"/>
  <c r="EN34" i="6" s="1"/>
  <c r="EM32" i="6"/>
  <c r="EL32" i="6"/>
  <c r="EK32" i="6"/>
  <c r="EJ32" i="6"/>
  <c r="EI32" i="6"/>
  <c r="EI34" i="6" s="1"/>
  <c r="EH32" i="6"/>
  <c r="EG32" i="6"/>
  <c r="FB32" i="6" s="1"/>
  <c r="FB34" i="6" s="1"/>
  <c r="EF32" i="6"/>
  <c r="EF34" i="6" s="1"/>
  <c r="EE32" i="6"/>
  <c r="EE34" i="6" s="1"/>
  <c r="ED32" i="6"/>
  <c r="ED34" i="6" s="1"/>
  <c r="EC32" i="6"/>
  <c r="EB32" i="6"/>
  <c r="DZ32" i="6"/>
  <c r="DZ34" i="6" s="1"/>
  <c r="DY32" i="6"/>
  <c r="DX32" i="6"/>
  <c r="DW32" i="6"/>
  <c r="DV32" i="6"/>
  <c r="DU32" i="6"/>
  <c r="DT32" i="6"/>
  <c r="DT34" i="6" s="1"/>
  <c r="DS32" i="6"/>
  <c r="DR32" i="6"/>
  <c r="DR34" i="6" s="1"/>
  <c r="DQ32" i="6"/>
  <c r="EX32" i="6" s="1"/>
  <c r="DP32" i="6"/>
  <c r="DP34" i="6" s="1"/>
  <c r="DO32" i="6"/>
  <c r="DO34" i="6" s="1"/>
  <c r="DN32" i="6"/>
  <c r="DN34" i="6" s="1"/>
  <c r="DM32" i="6"/>
  <c r="DM34" i="6" s="1"/>
  <c r="DL32" i="6"/>
  <c r="DK32" i="6"/>
  <c r="DJ32" i="6"/>
  <c r="DJ34" i="6" s="1"/>
  <c r="DI32" i="6"/>
  <c r="DH32" i="6"/>
  <c r="ER31" i="6"/>
  <c r="ER33" i="6" s="1"/>
  <c r="EQ31" i="6"/>
  <c r="EP31" i="6"/>
  <c r="EO31" i="6"/>
  <c r="EO19" i="6" s="1"/>
  <c r="EN31" i="6"/>
  <c r="EM31" i="6"/>
  <c r="EL31" i="6"/>
  <c r="EK31" i="6"/>
  <c r="FC31" i="6" s="1"/>
  <c r="EJ31" i="6"/>
  <c r="EI31" i="6"/>
  <c r="EI33" i="6" s="1"/>
  <c r="EH31" i="6"/>
  <c r="EG31" i="6"/>
  <c r="FB31" i="6" s="1"/>
  <c r="EF31" i="6"/>
  <c r="EE31" i="6"/>
  <c r="ED31" i="6"/>
  <c r="EC31" i="6"/>
  <c r="EC33" i="6" s="1"/>
  <c r="EB31" i="6"/>
  <c r="FA31" i="6" s="1"/>
  <c r="FA33" i="6" s="1"/>
  <c r="DZ31" i="6"/>
  <c r="DY31" i="6"/>
  <c r="DY33" i="6" s="1"/>
  <c r="DX31" i="6"/>
  <c r="DX19" i="6" s="1"/>
  <c r="DW31" i="6"/>
  <c r="DV31" i="6"/>
  <c r="DU31" i="6"/>
  <c r="DT31" i="6"/>
  <c r="DS31" i="6"/>
  <c r="DR31" i="6"/>
  <c r="DR33" i="6" s="1"/>
  <c r="DQ31" i="6"/>
  <c r="EX31" i="6" s="1"/>
  <c r="EX19" i="6" s="1"/>
  <c r="DP31" i="6"/>
  <c r="DP33" i="6" s="1"/>
  <c r="DO31" i="6"/>
  <c r="DN31" i="6"/>
  <c r="DM31" i="6"/>
  <c r="EW31" i="6" s="1"/>
  <c r="DL31" i="6"/>
  <c r="DL33" i="6" s="1"/>
  <c r="DK31" i="6"/>
  <c r="DK33" i="6" s="1"/>
  <c r="DJ31" i="6"/>
  <c r="DI31" i="6"/>
  <c r="DI33" i="6" s="1"/>
  <c r="DH31" i="6"/>
  <c r="DH19" i="6" s="1"/>
  <c r="FD30" i="6"/>
  <c r="EY30" i="6"/>
  <c r="ER30" i="6"/>
  <c r="EQ30" i="6"/>
  <c r="EP30" i="6"/>
  <c r="EO30" i="6"/>
  <c r="EN30" i="6"/>
  <c r="EM30" i="6"/>
  <c r="EL30" i="6"/>
  <c r="EK30" i="6"/>
  <c r="FC30" i="6" s="1"/>
  <c r="EJ30" i="6"/>
  <c r="EI30" i="6"/>
  <c r="EH30" i="6"/>
  <c r="EG30" i="6"/>
  <c r="EF30" i="6"/>
  <c r="EE30" i="6"/>
  <c r="ED30" i="6"/>
  <c r="EC30" i="6"/>
  <c r="EB30" i="6"/>
  <c r="DZ30" i="6"/>
  <c r="DY30" i="6"/>
  <c r="DX30" i="6"/>
  <c r="DW30" i="6"/>
  <c r="DV30" i="6"/>
  <c r="DU30" i="6"/>
  <c r="DT30" i="6"/>
  <c r="DS30" i="6"/>
  <c r="EX30" i="6" s="1"/>
  <c r="DR30" i="6"/>
  <c r="DQ30" i="6"/>
  <c r="DP30" i="6"/>
  <c r="DO30" i="6"/>
  <c r="DN30" i="6"/>
  <c r="DM30" i="6"/>
  <c r="DL30" i="6"/>
  <c r="DL18" i="6" s="1"/>
  <c r="DK30" i="6"/>
  <c r="DJ30" i="6"/>
  <c r="DI30" i="6"/>
  <c r="DH30" i="6"/>
  <c r="ER29" i="6"/>
  <c r="EQ29" i="6"/>
  <c r="EP29" i="6"/>
  <c r="EO29" i="6"/>
  <c r="EN29" i="6"/>
  <c r="EM29" i="6"/>
  <c r="EM33" i="6" s="1"/>
  <c r="EL29" i="6"/>
  <c r="EL17" i="6" s="1"/>
  <c r="EK29" i="6"/>
  <c r="EJ29" i="6"/>
  <c r="EI29" i="6"/>
  <c r="EH29" i="6"/>
  <c r="EG29" i="6"/>
  <c r="FB29" i="6" s="1"/>
  <c r="EF29" i="6"/>
  <c r="EF33" i="6" s="1"/>
  <c r="EE29" i="6"/>
  <c r="ED29" i="6"/>
  <c r="EC29" i="6"/>
  <c r="EB29" i="6"/>
  <c r="FA29" i="6" s="1"/>
  <c r="DZ29" i="6"/>
  <c r="DY29" i="6"/>
  <c r="DY17" i="6" s="1"/>
  <c r="DY22" i="6" s="1"/>
  <c r="DX29" i="6"/>
  <c r="DW29" i="6"/>
  <c r="DV29" i="6"/>
  <c r="DU29" i="6"/>
  <c r="DU33" i="6" s="1"/>
  <c r="DT29" i="6"/>
  <c r="DT33" i="6" s="1"/>
  <c r="DS29" i="6"/>
  <c r="DR29" i="6"/>
  <c r="DQ29" i="6"/>
  <c r="DP29" i="6"/>
  <c r="DO29" i="6"/>
  <c r="DO33" i="6" s="1"/>
  <c r="DN29" i="6"/>
  <c r="DM29" i="6"/>
  <c r="DL29" i="6"/>
  <c r="DK29" i="6"/>
  <c r="DJ29" i="6"/>
  <c r="DI29" i="6"/>
  <c r="DI17" i="6" s="1"/>
  <c r="DH29" i="6"/>
  <c r="ET28" i="6"/>
  <c r="ES28" i="6"/>
  <c r="EJ28" i="6"/>
  <c r="EH28" i="6"/>
  <c r="EE28" i="6"/>
  <c r="ED28" i="6"/>
  <c r="DY28" i="6"/>
  <c r="DI28" i="6"/>
  <c r="DF28" i="6"/>
  <c r="DE28" i="6"/>
  <c r="DD28" i="6"/>
  <c r="DC28" i="6"/>
  <c r="DB28" i="6"/>
  <c r="DA28" i="6"/>
  <c r="CZ28" i="6"/>
  <c r="CY28" i="6"/>
  <c r="CX28" i="6"/>
  <c r="CW28" i="6"/>
  <c r="CV28" i="6"/>
  <c r="CU28" i="6"/>
  <c r="CT28" i="6"/>
  <c r="CS28" i="6"/>
  <c r="CR28" i="6"/>
  <c r="CQ28" i="6"/>
  <c r="CP28" i="6"/>
  <c r="CO28" i="6"/>
  <c r="CN28" i="6"/>
  <c r="CM28" i="6"/>
  <c r="CL28" i="6"/>
  <c r="CK28" i="6"/>
  <c r="CJ28" i="6"/>
  <c r="CI28" i="6"/>
  <c r="CH28" i="6"/>
  <c r="CG28" i="6"/>
  <c r="CF28" i="6"/>
  <c r="CE28" i="6"/>
  <c r="CD28" i="6"/>
  <c r="CC28" i="6"/>
  <c r="CB28" i="6"/>
  <c r="CA28" i="6"/>
  <c r="BZ28" i="6"/>
  <c r="BY28" i="6"/>
  <c r="BX28" i="6"/>
  <c r="BW28" i="6"/>
  <c r="BV28" i="6"/>
  <c r="BU28" i="6"/>
  <c r="BT28" i="6"/>
  <c r="BS28" i="6"/>
  <c r="BR28" i="6"/>
  <c r="BQ28" i="6"/>
  <c r="BP28" i="6"/>
  <c r="BO28" i="6"/>
  <c r="BN28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ET27" i="6"/>
  <c r="ES27" i="6"/>
  <c r="EQ27" i="6"/>
  <c r="EM27" i="6"/>
  <c r="EI27" i="6"/>
  <c r="EG27" i="6"/>
  <c r="EF27" i="6"/>
  <c r="EC27" i="6"/>
  <c r="DR27" i="6"/>
  <c r="DP27" i="6"/>
  <c r="DO27" i="6"/>
  <c r="DM27" i="6"/>
  <c r="DL27" i="6"/>
  <c r="DK27" i="6"/>
  <c r="DH27" i="6"/>
  <c r="DF27" i="6"/>
  <c r="DE27" i="6"/>
  <c r="DD27" i="6"/>
  <c r="DC27" i="6"/>
  <c r="DB27" i="6"/>
  <c r="DA27" i="6"/>
  <c r="CZ27" i="6"/>
  <c r="CY27" i="6"/>
  <c r="CX27" i="6"/>
  <c r="CW27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CF27" i="6"/>
  <c r="CE27" i="6"/>
  <c r="CD27" i="6"/>
  <c r="CC27" i="6"/>
  <c r="CB27" i="6"/>
  <c r="CA27" i="6"/>
  <c r="BZ27" i="6"/>
  <c r="BY27" i="6"/>
  <c r="BX27" i="6"/>
  <c r="BW27" i="6"/>
  <c r="BV27" i="6"/>
  <c r="BU27" i="6"/>
  <c r="BT27" i="6"/>
  <c r="BS27" i="6"/>
  <c r="BR27" i="6"/>
  <c r="BQ27" i="6"/>
  <c r="BP27" i="6"/>
  <c r="BO27" i="6"/>
  <c r="BN27" i="6"/>
  <c r="BM27" i="6"/>
  <c r="BL27" i="6"/>
  <c r="BK27" i="6"/>
  <c r="BJ27" i="6"/>
  <c r="BI27" i="6"/>
  <c r="BH27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FD26" i="6"/>
  <c r="FC26" i="6"/>
  <c r="FC20" i="6" s="1"/>
  <c r="FB26" i="6"/>
  <c r="EY26" i="6"/>
  <c r="EY20" i="6" s="1"/>
  <c r="EX26" i="6"/>
  <c r="ER26" i="6"/>
  <c r="EQ26" i="6"/>
  <c r="EP26" i="6"/>
  <c r="EP20" i="6" s="1"/>
  <c r="EO26" i="6"/>
  <c r="EN26" i="6"/>
  <c r="EN28" i="6" s="1"/>
  <c r="EM26" i="6"/>
  <c r="EM28" i="6" s="1"/>
  <c r="EL26" i="6"/>
  <c r="EK26" i="6"/>
  <c r="EK20" i="6" s="1"/>
  <c r="EJ26" i="6"/>
  <c r="EI26" i="6"/>
  <c r="EI28" i="6" s="1"/>
  <c r="EH26" i="6"/>
  <c r="EG26" i="6"/>
  <c r="EG28" i="6" s="1"/>
  <c r="EF26" i="6"/>
  <c r="EE26" i="6"/>
  <c r="EE20" i="6" s="1"/>
  <c r="ED26" i="6"/>
  <c r="EC26" i="6"/>
  <c r="EC28" i="6" s="1"/>
  <c r="EB26" i="6"/>
  <c r="DZ26" i="6"/>
  <c r="DY26" i="6"/>
  <c r="DY20" i="6" s="1"/>
  <c r="DX26" i="6"/>
  <c r="DW26" i="6"/>
  <c r="DV26" i="6"/>
  <c r="DU26" i="6"/>
  <c r="DT26" i="6"/>
  <c r="DT20" i="6" s="1"/>
  <c r="DS26" i="6"/>
  <c r="DS28" i="6" s="1"/>
  <c r="DR26" i="6"/>
  <c r="DQ26" i="6"/>
  <c r="DQ28" i="6" s="1"/>
  <c r="DP26" i="6"/>
  <c r="DP28" i="6" s="1"/>
  <c r="DO26" i="6"/>
  <c r="DN26" i="6"/>
  <c r="DN20" i="6" s="1"/>
  <c r="DM26" i="6"/>
  <c r="DL26" i="6"/>
  <c r="DL28" i="6" s="1"/>
  <c r="DK26" i="6"/>
  <c r="DJ26" i="6"/>
  <c r="DI26" i="6"/>
  <c r="DI20" i="6" s="1"/>
  <c r="DH26" i="6"/>
  <c r="EW25" i="6"/>
  <c r="ER25" i="6"/>
  <c r="ER27" i="6" s="1"/>
  <c r="EQ25" i="6"/>
  <c r="EQ19" i="6" s="1"/>
  <c r="EP25" i="6"/>
  <c r="EO25" i="6"/>
  <c r="EN25" i="6"/>
  <c r="EM25" i="6"/>
  <c r="EL25" i="6"/>
  <c r="FC25" i="6" s="1"/>
  <c r="EK25" i="6"/>
  <c r="EK27" i="6" s="1"/>
  <c r="EJ25" i="6"/>
  <c r="EI25" i="6"/>
  <c r="EI19" i="6" s="1"/>
  <c r="EH25" i="6"/>
  <c r="EG25" i="6"/>
  <c r="EF25" i="6"/>
  <c r="EE25" i="6"/>
  <c r="EE27" i="6" s="1"/>
  <c r="ED25" i="6"/>
  <c r="ED19" i="6" s="1"/>
  <c r="EC25" i="6"/>
  <c r="EB25" i="6"/>
  <c r="EB27" i="6" s="1"/>
  <c r="DZ25" i="6"/>
  <c r="DY25" i="6"/>
  <c r="DX25" i="6"/>
  <c r="DW25" i="6"/>
  <c r="DV25" i="6"/>
  <c r="DU25" i="6"/>
  <c r="DT25" i="6"/>
  <c r="DT27" i="6" s="1"/>
  <c r="DS25" i="6"/>
  <c r="EX25" i="6" s="1"/>
  <c r="DR25" i="6"/>
  <c r="DR19" i="6" s="1"/>
  <c r="DQ25" i="6"/>
  <c r="DP25" i="6"/>
  <c r="DO25" i="6"/>
  <c r="DN25" i="6"/>
  <c r="DN27" i="6" s="1"/>
  <c r="DM25" i="6"/>
  <c r="DM19" i="6" s="1"/>
  <c r="DL25" i="6"/>
  <c r="DK25" i="6"/>
  <c r="DK19" i="6" s="1"/>
  <c r="DJ25" i="6"/>
  <c r="DI25" i="6"/>
  <c r="DH25" i="6"/>
  <c r="ER24" i="6"/>
  <c r="ER18" i="6" s="1"/>
  <c r="EQ24" i="6"/>
  <c r="EP24" i="6"/>
  <c r="EO24" i="6"/>
  <c r="EN24" i="6"/>
  <c r="EM24" i="6"/>
  <c r="EM18" i="6" s="1"/>
  <c r="EL24" i="6"/>
  <c r="EK24" i="6"/>
  <c r="EJ24" i="6"/>
  <c r="EI24" i="6"/>
  <c r="EI18" i="6" s="1"/>
  <c r="EH24" i="6"/>
  <c r="EH18" i="6" s="1"/>
  <c r="EG24" i="6"/>
  <c r="EF24" i="6"/>
  <c r="EE24" i="6"/>
  <c r="EE18" i="6" s="1"/>
  <c r="ED24" i="6"/>
  <c r="EC24" i="6"/>
  <c r="EB24" i="6"/>
  <c r="DZ24" i="6"/>
  <c r="DY24" i="6"/>
  <c r="DX24" i="6"/>
  <c r="DW24" i="6"/>
  <c r="DV24" i="6"/>
  <c r="DV18" i="6" s="1"/>
  <c r="DU24" i="6"/>
  <c r="DT24" i="6"/>
  <c r="DS24" i="6"/>
  <c r="DR24" i="6"/>
  <c r="DR18" i="6" s="1"/>
  <c r="DQ24" i="6"/>
  <c r="DP24" i="6"/>
  <c r="DO24" i="6"/>
  <c r="DN24" i="6"/>
  <c r="DN18" i="6" s="1"/>
  <c r="DM24" i="6"/>
  <c r="DL24" i="6"/>
  <c r="DK24" i="6"/>
  <c r="DK18" i="6" s="1"/>
  <c r="DJ24" i="6"/>
  <c r="DI24" i="6"/>
  <c r="EV24" i="6" s="1"/>
  <c r="DH24" i="6"/>
  <c r="EW23" i="6"/>
  <c r="ER23" i="6"/>
  <c r="EQ23" i="6"/>
  <c r="EP23" i="6"/>
  <c r="EO23" i="6"/>
  <c r="EO17" i="6" s="1"/>
  <c r="EO21" i="6" s="1"/>
  <c r="EN23" i="6"/>
  <c r="EM23" i="6"/>
  <c r="EM17" i="6" s="1"/>
  <c r="EM22" i="6" s="1"/>
  <c r="EL23" i="6"/>
  <c r="EK23" i="6"/>
  <c r="EJ23" i="6"/>
  <c r="FB23" i="6" s="1"/>
  <c r="EI23" i="6"/>
  <c r="EH23" i="6"/>
  <c r="EH27" i="6" s="1"/>
  <c r="EG23" i="6"/>
  <c r="EF23" i="6"/>
  <c r="EE23" i="6"/>
  <c r="ED23" i="6"/>
  <c r="EC23" i="6"/>
  <c r="EB23" i="6"/>
  <c r="DZ23" i="6"/>
  <c r="DZ17" i="6" s="1"/>
  <c r="DY23" i="6"/>
  <c r="DX23" i="6"/>
  <c r="DX27" i="6" s="1"/>
  <c r="DW23" i="6"/>
  <c r="DW28" i="6" s="1"/>
  <c r="DV23" i="6"/>
  <c r="DU23" i="6"/>
  <c r="DT23" i="6"/>
  <c r="DS23" i="6"/>
  <c r="DR23" i="6"/>
  <c r="DQ23" i="6"/>
  <c r="DP23" i="6"/>
  <c r="DO23" i="6"/>
  <c r="DN23" i="6"/>
  <c r="DM23" i="6"/>
  <c r="DL23" i="6"/>
  <c r="DK23" i="6"/>
  <c r="DJ23" i="6"/>
  <c r="DJ17" i="6" s="1"/>
  <c r="DI23" i="6"/>
  <c r="DH23" i="6"/>
  <c r="DI22" i="6"/>
  <c r="DD22" i="6"/>
  <c r="DC22" i="6"/>
  <c r="DB22" i="6"/>
  <c r="CZ22" i="6"/>
  <c r="CR22" i="6"/>
  <c r="CM22" i="6"/>
  <c r="CJ22" i="6"/>
  <c r="CI22" i="6"/>
  <c r="CH22" i="6"/>
  <c r="CD22" i="6"/>
  <c r="CB22" i="6"/>
  <c r="CA22" i="6"/>
  <c r="BW22" i="6"/>
  <c r="BL22" i="6"/>
  <c r="BG22" i="6"/>
  <c r="BF22" i="6"/>
  <c r="BD22" i="6"/>
  <c r="BC22" i="6"/>
  <c r="BB22" i="6"/>
  <c r="AV22" i="6"/>
  <c r="AQ22" i="6"/>
  <c r="AN22" i="6"/>
  <c r="AL22" i="6"/>
  <c r="AF22" i="6"/>
  <c r="AE22" i="6"/>
  <c r="AB22" i="6"/>
  <c r="AA22" i="6"/>
  <c r="P22" i="6"/>
  <c r="K22" i="6"/>
  <c r="H22" i="6"/>
  <c r="G22" i="6"/>
  <c r="F22" i="6"/>
  <c r="EI21" i="6"/>
  <c r="EH21" i="6"/>
  <c r="EF21" i="6"/>
  <c r="EC21" i="6"/>
  <c r="DM21" i="6"/>
  <c r="DH21" i="6"/>
  <c r="DC21" i="6"/>
  <c r="DA21" i="6"/>
  <c r="CZ21" i="6"/>
  <c r="CR21" i="6"/>
  <c r="CK21" i="6"/>
  <c r="CF21" i="6"/>
  <c r="CE21" i="6"/>
  <c r="CC21" i="6"/>
  <c r="CB21" i="6"/>
  <c r="BM21" i="6"/>
  <c r="BL21" i="6"/>
  <c r="BK21" i="6"/>
  <c r="BE21" i="6"/>
  <c r="BD21" i="6"/>
  <c r="BA21" i="6"/>
  <c r="AZ21" i="6"/>
  <c r="AV21" i="6"/>
  <c r="AJ21" i="6"/>
  <c r="AI21" i="6"/>
  <c r="AG21" i="6"/>
  <c r="AF21" i="6"/>
  <c r="AA21" i="6"/>
  <c r="P21" i="6"/>
  <c r="O21" i="6"/>
  <c r="I21" i="6"/>
  <c r="E21" i="6"/>
  <c r="D21" i="6"/>
  <c r="ET20" i="6"/>
  <c r="ES20" i="6"/>
  <c r="ER20" i="6"/>
  <c r="EQ20" i="6"/>
  <c r="EO20" i="6"/>
  <c r="EN20" i="6"/>
  <c r="EM20" i="6"/>
  <c r="EL20" i="6"/>
  <c r="EL22" i="6" s="1"/>
  <c r="EJ20" i="6"/>
  <c r="EJ22" i="6" s="1"/>
  <c r="EI20" i="6"/>
  <c r="EI22" i="6" s="1"/>
  <c r="EH20" i="6"/>
  <c r="EH22" i="6" s="1"/>
  <c r="EB20" i="6"/>
  <c r="DZ20" i="6"/>
  <c r="DX20" i="6"/>
  <c r="DW20" i="6"/>
  <c r="DV20" i="6"/>
  <c r="DU20" i="6"/>
  <c r="DS20" i="6"/>
  <c r="DS22" i="6" s="1"/>
  <c r="DJ20" i="6"/>
  <c r="DJ22" i="6" s="1"/>
  <c r="DH20" i="6"/>
  <c r="DH22" i="6" s="1"/>
  <c r="DF20" i="6"/>
  <c r="DE20" i="6"/>
  <c r="DD20" i="6"/>
  <c r="DC20" i="6"/>
  <c r="DB20" i="6"/>
  <c r="DA20" i="6"/>
  <c r="CZ20" i="6"/>
  <c r="CY20" i="6"/>
  <c r="CX20" i="6"/>
  <c r="CW20" i="6"/>
  <c r="CV20" i="6"/>
  <c r="CU20" i="6"/>
  <c r="CT20" i="6"/>
  <c r="CT22" i="6" s="1"/>
  <c r="CS20" i="6"/>
  <c r="CS22" i="6" s="1"/>
  <c r="CR20" i="6"/>
  <c r="CQ20" i="6"/>
  <c r="CQ22" i="6" s="1"/>
  <c r="CP20" i="6"/>
  <c r="CO20" i="6"/>
  <c r="CN20" i="6"/>
  <c r="CN22" i="6" s="1"/>
  <c r="CM20" i="6"/>
  <c r="CL20" i="6"/>
  <c r="CL22" i="6" s="1"/>
  <c r="CK20" i="6"/>
  <c r="CJ20" i="6"/>
  <c r="CI20" i="6"/>
  <c r="CH20" i="6"/>
  <c r="CG20" i="6"/>
  <c r="CF20" i="6"/>
  <c r="CE20" i="6"/>
  <c r="CD20" i="6"/>
  <c r="CC20" i="6"/>
  <c r="CC22" i="6" s="1"/>
  <c r="CB20" i="6"/>
  <c r="CA20" i="6"/>
  <c r="BZ20" i="6"/>
  <c r="BY20" i="6"/>
  <c r="BX20" i="6"/>
  <c r="BX22" i="6" s="1"/>
  <c r="BW20" i="6"/>
  <c r="BV20" i="6"/>
  <c r="BV22" i="6" s="1"/>
  <c r="BU20" i="6"/>
  <c r="BT20" i="6"/>
  <c r="BT22" i="6" s="1"/>
  <c r="BS20" i="6"/>
  <c r="BR20" i="6"/>
  <c r="BQ20" i="6"/>
  <c r="BP20" i="6"/>
  <c r="BO20" i="6"/>
  <c r="BN20" i="6"/>
  <c r="BN22" i="6" s="1"/>
  <c r="BM20" i="6"/>
  <c r="BM22" i="6" s="1"/>
  <c r="BL20" i="6"/>
  <c r="BK20" i="6"/>
  <c r="BK22" i="6" s="1"/>
  <c r="BJ20" i="6"/>
  <c r="BI20" i="6"/>
  <c r="BH20" i="6"/>
  <c r="BH22" i="6" s="1"/>
  <c r="BG20" i="6"/>
  <c r="BF20" i="6"/>
  <c r="BE20" i="6"/>
  <c r="BD20" i="6"/>
  <c r="BC20" i="6"/>
  <c r="BB20" i="6"/>
  <c r="BA20" i="6"/>
  <c r="AZ20" i="6"/>
  <c r="AY20" i="6"/>
  <c r="AX20" i="6"/>
  <c r="AX22" i="6" s="1"/>
  <c r="AW20" i="6"/>
  <c r="AW22" i="6" s="1"/>
  <c r="AV20" i="6"/>
  <c r="AU20" i="6"/>
  <c r="AU22" i="6" s="1"/>
  <c r="AT20" i="6"/>
  <c r="AS20" i="6"/>
  <c r="AR20" i="6"/>
  <c r="AR22" i="6" s="1"/>
  <c r="AQ20" i="6"/>
  <c r="AP20" i="6"/>
  <c r="AP22" i="6" s="1"/>
  <c r="AO20" i="6"/>
  <c r="AN20" i="6"/>
  <c r="AM20" i="6"/>
  <c r="AL20" i="6"/>
  <c r="AK20" i="6"/>
  <c r="AJ20" i="6"/>
  <c r="AI20" i="6"/>
  <c r="AH20" i="6"/>
  <c r="AH22" i="6" s="1"/>
  <c r="AG20" i="6"/>
  <c r="AG22" i="6" s="1"/>
  <c r="AF20" i="6"/>
  <c r="AE20" i="6"/>
  <c r="AD20" i="6"/>
  <c r="AC20" i="6"/>
  <c r="AB20" i="6"/>
  <c r="AA20" i="6"/>
  <c r="Z20" i="6"/>
  <c r="Z22" i="6" s="1"/>
  <c r="Y20" i="6"/>
  <c r="X20" i="6"/>
  <c r="X22" i="6" s="1"/>
  <c r="W20" i="6"/>
  <c r="V20" i="6"/>
  <c r="U20" i="6"/>
  <c r="T20" i="6"/>
  <c r="S20" i="6"/>
  <c r="R20" i="6"/>
  <c r="R22" i="6" s="1"/>
  <c r="Q20" i="6"/>
  <c r="Q22" i="6" s="1"/>
  <c r="P20" i="6"/>
  <c r="O20" i="6"/>
  <c r="O22" i="6" s="1"/>
  <c r="N20" i="6"/>
  <c r="N22" i="6" s="1"/>
  <c r="M20" i="6"/>
  <c r="L20" i="6"/>
  <c r="L22" i="6" s="1"/>
  <c r="K20" i="6"/>
  <c r="J20" i="6"/>
  <c r="I20" i="6"/>
  <c r="H20" i="6"/>
  <c r="G20" i="6"/>
  <c r="F20" i="6"/>
  <c r="E20" i="6"/>
  <c r="D20" i="6"/>
  <c r="ET19" i="6"/>
  <c r="ES19" i="6"/>
  <c r="ES21" i="6" s="1"/>
  <c r="ER19" i="6"/>
  <c r="EM19" i="6"/>
  <c r="EK19" i="6"/>
  <c r="EJ19" i="6"/>
  <c r="EJ21" i="6" s="1"/>
  <c r="EH19" i="6"/>
  <c r="EG19" i="6"/>
  <c r="EF19" i="6"/>
  <c r="EC19" i="6"/>
  <c r="DZ19" i="6"/>
  <c r="DZ21" i="6" s="1"/>
  <c r="DV19" i="6"/>
  <c r="DT19" i="6"/>
  <c r="DS19" i="6"/>
  <c r="DS21" i="6" s="1"/>
  <c r="DQ19" i="6"/>
  <c r="DQ21" i="6" s="1"/>
  <c r="DP19" i="6"/>
  <c r="DP21" i="6" s="1"/>
  <c r="DO19" i="6"/>
  <c r="DO21" i="6" s="1"/>
  <c r="DL19" i="6"/>
  <c r="DL21" i="6" s="1"/>
  <c r="DF19" i="6"/>
  <c r="DE19" i="6"/>
  <c r="DD19" i="6"/>
  <c r="DC19" i="6"/>
  <c r="DB19" i="6"/>
  <c r="DA19" i="6"/>
  <c r="CZ19" i="6"/>
  <c r="CY19" i="6"/>
  <c r="CY21" i="6" s="1"/>
  <c r="CX19" i="6"/>
  <c r="CX21" i="6" s="1"/>
  <c r="CW19" i="6"/>
  <c r="CW21" i="6" s="1"/>
  <c r="CV19" i="6"/>
  <c r="CU19" i="6"/>
  <c r="CU21" i="6" s="1"/>
  <c r="CT19" i="6"/>
  <c r="CT21" i="6" s="1"/>
  <c r="CS19" i="6"/>
  <c r="CS21" i="6" s="1"/>
  <c r="CR19" i="6"/>
  <c r="CQ19" i="6"/>
  <c r="CP19" i="6"/>
  <c r="CO19" i="6"/>
  <c r="CN19" i="6"/>
  <c r="CM19" i="6"/>
  <c r="CM21" i="6" s="1"/>
  <c r="CL19" i="6"/>
  <c r="CK19" i="6"/>
  <c r="CJ19" i="6"/>
  <c r="CJ21" i="6" s="1"/>
  <c r="CI19" i="6"/>
  <c r="CI21" i="6" s="1"/>
  <c r="CH19" i="6"/>
  <c r="CH21" i="6" s="1"/>
  <c r="CG19" i="6"/>
  <c r="CG21" i="6" s="1"/>
  <c r="CF19" i="6"/>
  <c r="CE19" i="6"/>
  <c r="CD19" i="6"/>
  <c r="CD21" i="6" s="1"/>
  <c r="CC19" i="6"/>
  <c r="CB19" i="6"/>
  <c r="CA19" i="6"/>
  <c r="BZ19" i="6"/>
  <c r="BY19" i="6"/>
  <c r="BX19" i="6"/>
  <c r="BW19" i="6"/>
  <c r="BW21" i="6" s="1"/>
  <c r="BV19" i="6"/>
  <c r="BU19" i="6"/>
  <c r="BT19" i="6"/>
  <c r="BT21" i="6" s="1"/>
  <c r="BS19" i="6"/>
  <c r="BS21" i="6" s="1"/>
  <c r="BR19" i="6"/>
  <c r="BR21" i="6" s="1"/>
  <c r="BQ19" i="6"/>
  <c r="BQ21" i="6" s="1"/>
  <c r="BP19" i="6"/>
  <c r="BO19" i="6"/>
  <c r="BO21" i="6" s="1"/>
  <c r="BN19" i="6"/>
  <c r="BN21" i="6" s="1"/>
  <c r="BM19" i="6"/>
  <c r="BL19" i="6"/>
  <c r="BK19" i="6"/>
  <c r="BJ19" i="6"/>
  <c r="BI19" i="6"/>
  <c r="BH19" i="6"/>
  <c r="BG19" i="6"/>
  <c r="BG21" i="6" s="1"/>
  <c r="BF19" i="6"/>
  <c r="BE19" i="6"/>
  <c r="BD19" i="6"/>
  <c r="BC19" i="6"/>
  <c r="BC21" i="6" s="1"/>
  <c r="BB19" i="6"/>
  <c r="BB21" i="6" s="1"/>
  <c r="BA19" i="6"/>
  <c r="AZ19" i="6"/>
  <c r="AY19" i="6"/>
  <c r="AY21" i="6" s="1"/>
  <c r="AX19" i="6"/>
  <c r="AX21" i="6" s="1"/>
  <c r="AW19" i="6"/>
  <c r="AW21" i="6" s="1"/>
  <c r="AV19" i="6"/>
  <c r="AU19" i="6"/>
  <c r="AT19" i="6"/>
  <c r="AS19" i="6"/>
  <c r="AR19" i="6"/>
  <c r="AQ19" i="6"/>
  <c r="AQ21" i="6" s="1"/>
  <c r="AP19" i="6"/>
  <c r="AO19" i="6"/>
  <c r="AN19" i="6"/>
  <c r="AN21" i="6" s="1"/>
  <c r="AM19" i="6"/>
  <c r="AM21" i="6" s="1"/>
  <c r="AL19" i="6"/>
  <c r="AL21" i="6" s="1"/>
  <c r="AK19" i="6"/>
  <c r="AK21" i="6" s="1"/>
  <c r="AJ19" i="6"/>
  <c r="AI19" i="6"/>
  <c r="AH19" i="6"/>
  <c r="AH21" i="6" s="1"/>
  <c r="AG19" i="6"/>
  <c r="AF19" i="6"/>
  <c r="AE19" i="6"/>
  <c r="AD19" i="6"/>
  <c r="AC19" i="6"/>
  <c r="AB19" i="6"/>
  <c r="AA19" i="6"/>
  <c r="Z19" i="6"/>
  <c r="Y19" i="6"/>
  <c r="X19" i="6"/>
  <c r="X21" i="6" s="1"/>
  <c r="W19" i="6"/>
  <c r="W21" i="6" s="1"/>
  <c r="V19" i="6"/>
  <c r="V21" i="6" s="1"/>
  <c r="U19" i="6"/>
  <c r="U21" i="6" s="1"/>
  <c r="T19" i="6"/>
  <c r="S19" i="6"/>
  <c r="S21" i="6" s="1"/>
  <c r="R19" i="6"/>
  <c r="R21" i="6" s="1"/>
  <c r="Q19" i="6"/>
  <c r="Q21" i="6" s="1"/>
  <c r="P19" i="6"/>
  <c r="O19" i="6"/>
  <c r="N19" i="6"/>
  <c r="M19" i="6"/>
  <c r="L19" i="6"/>
  <c r="K19" i="6"/>
  <c r="K21" i="6" s="1"/>
  <c r="J19" i="6"/>
  <c r="I19" i="6"/>
  <c r="H19" i="6"/>
  <c r="H21" i="6" s="1"/>
  <c r="G19" i="6"/>
  <c r="G21" i="6" s="1"/>
  <c r="F19" i="6"/>
  <c r="F21" i="6" s="1"/>
  <c r="E19" i="6"/>
  <c r="D19" i="6"/>
  <c r="ET18" i="6"/>
  <c r="ES18" i="6"/>
  <c r="EQ18" i="6"/>
  <c r="EP18" i="6"/>
  <c r="EO18" i="6"/>
  <c r="EN18" i="6"/>
  <c r="EL18" i="6"/>
  <c r="EK18" i="6"/>
  <c r="EJ18" i="6"/>
  <c r="EG18" i="6"/>
  <c r="ED18" i="6"/>
  <c r="DZ18" i="6"/>
  <c r="DY18" i="6"/>
  <c r="DX18" i="6"/>
  <c r="DW18" i="6"/>
  <c r="DU18" i="6"/>
  <c r="DT18" i="6"/>
  <c r="DP18" i="6"/>
  <c r="DM18" i="6"/>
  <c r="DJ18" i="6"/>
  <c r="DI18" i="6"/>
  <c r="DH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ET17" i="6"/>
  <c r="ET21" i="6" s="1"/>
  <c r="ES17" i="6"/>
  <c r="EJ17" i="6"/>
  <c r="EI17" i="6"/>
  <c r="EH17" i="6"/>
  <c r="EG17" i="6"/>
  <c r="EF17" i="6"/>
  <c r="EE17" i="6"/>
  <c r="ED17" i="6"/>
  <c r="ED21" i="6" s="1"/>
  <c r="EC17" i="6"/>
  <c r="DX17" i="6"/>
  <c r="DU17" i="6"/>
  <c r="DU22" i="6" s="1"/>
  <c r="DS17" i="6"/>
  <c r="DR17" i="6"/>
  <c r="DR21" i="6" s="1"/>
  <c r="DQ17" i="6"/>
  <c r="DP17" i="6"/>
  <c r="DO17" i="6"/>
  <c r="DN17" i="6"/>
  <c r="DM17" i="6"/>
  <c r="DL17" i="6"/>
  <c r="DH17" i="6"/>
  <c r="DF17" i="6"/>
  <c r="DE17" i="6"/>
  <c r="DE22" i="6" s="1"/>
  <c r="DD17" i="6"/>
  <c r="DC17" i="6"/>
  <c r="DB17" i="6"/>
  <c r="DA17" i="6"/>
  <c r="CZ17" i="6"/>
  <c r="CY17" i="6"/>
  <c r="CY22" i="6" s="1"/>
  <c r="CX17" i="6"/>
  <c r="CX22" i="6" s="1"/>
  <c r="CW17" i="6"/>
  <c r="CV17" i="6"/>
  <c r="CV21" i="6" s="1"/>
  <c r="CU17" i="6"/>
  <c r="CT17" i="6"/>
  <c r="CS17" i="6"/>
  <c r="CR17" i="6"/>
  <c r="CQ17" i="6"/>
  <c r="CQ21" i="6" s="1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CA21" i="6" s="1"/>
  <c r="BZ17" i="6"/>
  <c r="BY17" i="6"/>
  <c r="BX17" i="6"/>
  <c r="BW17" i="6"/>
  <c r="BV17" i="6"/>
  <c r="BU17" i="6"/>
  <c r="BU21" i="6" s="1"/>
  <c r="BT17" i="6"/>
  <c r="BS17" i="6"/>
  <c r="BS22" i="6" s="1"/>
  <c r="BR17" i="6"/>
  <c r="BR22" i="6" s="1"/>
  <c r="BQ17" i="6"/>
  <c r="BP17" i="6"/>
  <c r="BP21" i="6" s="1"/>
  <c r="BO17" i="6"/>
  <c r="BN17" i="6"/>
  <c r="BM17" i="6"/>
  <c r="BL17" i="6"/>
  <c r="BK17" i="6"/>
  <c r="BJ17" i="6"/>
  <c r="BI17" i="6"/>
  <c r="BI22" i="6" s="1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U21" i="6" s="1"/>
  <c r="AT17" i="6"/>
  <c r="AS17" i="6"/>
  <c r="AR17" i="6"/>
  <c r="AQ17" i="6"/>
  <c r="AP17" i="6"/>
  <c r="AO17" i="6"/>
  <c r="AO21" i="6" s="1"/>
  <c r="AN17" i="6"/>
  <c r="AM17" i="6"/>
  <c r="AM22" i="6" s="1"/>
  <c r="AL17" i="6"/>
  <c r="AK17" i="6"/>
  <c r="AJ17" i="6"/>
  <c r="AI17" i="6"/>
  <c r="AH17" i="6"/>
  <c r="AG17" i="6"/>
  <c r="AF17" i="6"/>
  <c r="AE17" i="6"/>
  <c r="AE21" i="6" s="1"/>
  <c r="AD17" i="6"/>
  <c r="AC17" i="6"/>
  <c r="AB17" i="6"/>
  <c r="AA17" i="6"/>
  <c r="Z17" i="6"/>
  <c r="Y17" i="6"/>
  <c r="Y21" i="6" s="1"/>
  <c r="X17" i="6"/>
  <c r="W17" i="6"/>
  <c r="W22" i="6" s="1"/>
  <c r="V17" i="6"/>
  <c r="V22" i="6" s="1"/>
  <c r="U17" i="6"/>
  <c r="T17" i="6"/>
  <c r="T21" i="6" s="1"/>
  <c r="S17" i="6"/>
  <c r="R17" i="6"/>
  <c r="Q17" i="6"/>
  <c r="P17" i="6"/>
  <c r="O17" i="6"/>
  <c r="N17" i="6"/>
  <c r="M17" i="6"/>
  <c r="L17" i="6"/>
  <c r="K17" i="6"/>
  <c r="J17" i="6"/>
  <c r="J22" i="6" s="1"/>
  <c r="I17" i="6"/>
  <c r="H17" i="6"/>
  <c r="G17" i="6"/>
  <c r="F17" i="6"/>
  <c r="E17" i="6"/>
  <c r="D17" i="6"/>
  <c r="C31" i="5"/>
  <c r="C32" i="5" s="1"/>
  <c r="C33" i="5" s="1"/>
  <c r="C34" i="5" s="1"/>
  <c r="C35" i="5" s="1"/>
  <c r="C7" i="5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6" i="5"/>
  <c r="N39" i="4"/>
  <c r="L39" i="4"/>
  <c r="M39" i="4" s="1"/>
  <c r="K39" i="4"/>
  <c r="J39" i="4"/>
  <c r="I39" i="4"/>
  <c r="F39" i="4"/>
  <c r="G39" i="4" s="1"/>
  <c r="E39" i="4"/>
  <c r="D39" i="4"/>
  <c r="C39" i="4"/>
  <c r="R38" i="4"/>
  <c r="Q38" i="4"/>
  <c r="P38" i="4"/>
  <c r="O38" i="4"/>
  <c r="O39" i="4" s="1"/>
  <c r="N38" i="4"/>
  <c r="M38" i="4"/>
  <c r="H38" i="4"/>
  <c r="G38" i="4"/>
  <c r="T37" i="4"/>
  <c r="S37" i="4"/>
  <c r="R37" i="4"/>
  <c r="Q37" i="4"/>
  <c r="P37" i="4"/>
  <c r="O37" i="4"/>
  <c r="N37" i="4"/>
  <c r="M37" i="4"/>
  <c r="H37" i="4"/>
  <c r="G37" i="4"/>
  <c r="T36" i="4"/>
  <c r="R36" i="4"/>
  <c r="Q36" i="4"/>
  <c r="P36" i="4"/>
  <c r="O36" i="4"/>
  <c r="N36" i="4"/>
  <c r="M36" i="4"/>
  <c r="H36" i="4"/>
  <c r="G36" i="4"/>
  <c r="R35" i="4"/>
  <c r="Q35" i="4"/>
  <c r="P35" i="4"/>
  <c r="P39" i="4" s="1"/>
  <c r="O35" i="4"/>
  <c r="N35" i="4"/>
  <c r="M35" i="4"/>
  <c r="H35" i="4"/>
  <c r="H39" i="4" s="1"/>
  <c r="G35" i="4"/>
  <c r="K34" i="4"/>
  <c r="J34" i="4"/>
  <c r="I34" i="4"/>
  <c r="H34" i="4"/>
  <c r="F34" i="4"/>
  <c r="G34" i="4" s="1"/>
  <c r="E34" i="4"/>
  <c r="D34" i="4"/>
  <c r="D40" i="4" s="1"/>
  <c r="C34" i="4"/>
  <c r="T33" i="4"/>
  <c r="S33" i="4"/>
  <c r="R33" i="4"/>
  <c r="P33" i="4"/>
  <c r="O33" i="4"/>
  <c r="N33" i="4"/>
  <c r="M33" i="4"/>
  <c r="H33" i="4"/>
  <c r="G33" i="4"/>
  <c r="S32" i="4"/>
  <c r="R32" i="4"/>
  <c r="P32" i="4"/>
  <c r="O32" i="4"/>
  <c r="N32" i="4"/>
  <c r="M32" i="4"/>
  <c r="H32" i="4"/>
  <c r="G32" i="4"/>
  <c r="Q31" i="4"/>
  <c r="P31" i="4"/>
  <c r="O31" i="4"/>
  <c r="N31" i="4"/>
  <c r="L31" i="4"/>
  <c r="L34" i="4" s="1"/>
  <c r="M34" i="4" s="1"/>
  <c r="H31" i="4"/>
  <c r="F31" i="4"/>
  <c r="R30" i="4"/>
  <c r="Q30" i="4"/>
  <c r="S30" i="4" s="1"/>
  <c r="P30" i="4"/>
  <c r="T30" i="4" s="1"/>
  <c r="O30" i="4"/>
  <c r="N30" i="4"/>
  <c r="M30" i="4"/>
  <c r="H30" i="4"/>
  <c r="G30" i="4"/>
  <c r="R29" i="4"/>
  <c r="Q29" i="4"/>
  <c r="P29" i="4"/>
  <c r="O29" i="4"/>
  <c r="N29" i="4"/>
  <c r="M29" i="4"/>
  <c r="H29" i="4"/>
  <c r="G29" i="4"/>
  <c r="T28" i="4"/>
  <c r="S28" i="4"/>
  <c r="R28" i="4"/>
  <c r="Q28" i="4"/>
  <c r="P28" i="4"/>
  <c r="O28" i="4"/>
  <c r="N28" i="4"/>
  <c r="M28" i="4"/>
  <c r="H28" i="4"/>
  <c r="G28" i="4"/>
  <c r="R27" i="4"/>
  <c r="T27" i="4" s="1"/>
  <c r="Q27" i="4"/>
  <c r="Q34" i="4" s="1"/>
  <c r="P27" i="4"/>
  <c r="O27" i="4"/>
  <c r="O34" i="4" s="1"/>
  <c r="N27" i="4"/>
  <c r="M27" i="4"/>
  <c r="H27" i="4"/>
  <c r="G27" i="4"/>
  <c r="Q26" i="4"/>
  <c r="L26" i="4"/>
  <c r="M26" i="4" s="1"/>
  <c r="K26" i="4"/>
  <c r="K40" i="4" s="1"/>
  <c r="J26" i="4"/>
  <c r="I26" i="4"/>
  <c r="F26" i="4"/>
  <c r="G26" i="4" s="1"/>
  <c r="E26" i="4"/>
  <c r="D26" i="4"/>
  <c r="C26" i="4"/>
  <c r="T25" i="4"/>
  <c r="R25" i="4"/>
  <c r="S25" i="4" s="1"/>
  <c r="P25" i="4"/>
  <c r="O25" i="4"/>
  <c r="N25" i="4"/>
  <c r="M25" i="4"/>
  <c r="H25" i="4"/>
  <c r="G25" i="4"/>
  <c r="S24" i="4"/>
  <c r="R24" i="4"/>
  <c r="P24" i="4"/>
  <c r="O24" i="4"/>
  <c r="N24" i="4"/>
  <c r="M24" i="4"/>
  <c r="H24" i="4"/>
  <c r="G24" i="4"/>
  <c r="R23" i="4"/>
  <c r="Q23" i="4"/>
  <c r="P23" i="4"/>
  <c r="O23" i="4"/>
  <c r="N23" i="4"/>
  <c r="M23" i="4"/>
  <c r="H23" i="4"/>
  <c r="G23" i="4"/>
  <c r="S22" i="4"/>
  <c r="R22" i="4"/>
  <c r="T22" i="4" s="1"/>
  <c r="Q22" i="4"/>
  <c r="P22" i="4"/>
  <c r="O22" i="4"/>
  <c r="N22" i="4"/>
  <c r="M22" i="4"/>
  <c r="H22" i="4"/>
  <c r="G22" i="4"/>
  <c r="R21" i="4"/>
  <c r="Q21" i="4"/>
  <c r="P21" i="4"/>
  <c r="O21" i="4"/>
  <c r="N21" i="4"/>
  <c r="M21" i="4"/>
  <c r="H21" i="4"/>
  <c r="G21" i="4"/>
  <c r="R20" i="4"/>
  <c r="T20" i="4" s="1"/>
  <c r="Q20" i="4"/>
  <c r="P20" i="4"/>
  <c r="O20" i="4"/>
  <c r="N20" i="4"/>
  <c r="M20" i="4"/>
  <c r="H20" i="4"/>
  <c r="G20" i="4"/>
  <c r="T19" i="4"/>
  <c r="S19" i="4"/>
  <c r="R19" i="4"/>
  <c r="R26" i="4" s="1"/>
  <c r="Q19" i="4"/>
  <c r="P19" i="4"/>
  <c r="O19" i="4"/>
  <c r="N19" i="4"/>
  <c r="M19" i="4"/>
  <c r="H19" i="4"/>
  <c r="G19" i="4"/>
  <c r="N18" i="4"/>
  <c r="M18" i="4"/>
  <c r="L18" i="4"/>
  <c r="K18" i="4"/>
  <c r="J18" i="4"/>
  <c r="J40" i="4" s="1"/>
  <c r="I18" i="4"/>
  <c r="G18" i="4"/>
  <c r="F18" i="4"/>
  <c r="E18" i="4"/>
  <c r="D18" i="4"/>
  <c r="C18" i="4"/>
  <c r="T17" i="4"/>
  <c r="R17" i="4"/>
  <c r="S17" i="4" s="1"/>
  <c r="Q17" i="4"/>
  <c r="P17" i="4"/>
  <c r="O17" i="4"/>
  <c r="N17" i="4"/>
  <c r="M17" i="4"/>
  <c r="H17" i="4"/>
  <c r="G17" i="4"/>
  <c r="T16" i="4"/>
  <c r="S16" i="4"/>
  <c r="R16" i="4"/>
  <c r="Q16" i="4"/>
  <c r="P16" i="4"/>
  <c r="O16" i="4"/>
  <c r="N16" i="4"/>
  <c r="M16" i="4"/>
  <c r="H16" i="4"/>
  <c r="G16" i="4"/>
  <c r="R15" i="4"/>
  <c r="Q15" i="4"/>
  <c r="P15" i="4"/>
  <c r="P18" i="4" s="1"/>
  <c r="O15" i="4"/>
  <c r="N15" i="4"/>
  <c r="M15" i="4"/>
  <c r="H15" i="4"/>
  <c r="G15" i="4"/>
  <c r="R14" i="4"/>
  <c r="T14" i="4" s="1"/>
  <c r="Q14" i="4"/>
  <c r="S14" i="4" s="1"/>
  <c r="P14" i="4"/>
  <c r="O14" i="4"/>
  <c r="N14" i="4"/>
  <c r="M14" i="4"/>
  <c r="H14" i="4"/>
  <c r="G14" i="4"/>
  <c r="R13" i="4"/>
  <c r="S13" i="4" s="1"/>
  <c r="Q13" i="4"/>
  <c r="P13" i="4"/>
  <c r="O13" i="4"/>
  <c r="N13" i="4"/>
  <c r="M13" i="4"/>
  <c r="H13" i="4"/>
  <c r="G13" i="4"/>
  <c r="R12" i="4"/>
  <c r="Q12" i="4"/>
  <c r="P12" i="4"/>
  <c r="O12" i="4"/>
  <c r="N12" i="4"/>
  <c r="M12" i="4"/>
  <c r="H12" i="4"/>
  <c r="G12" i="4"/>
  <c r="R11" i="4"/>
  <c r="T11" i="4" s="1"/>
  <c r="Q11" i="4"/>
  <c r="P11" i="4"/>
  <c r="O11" i="4"/>
  <c r="N11" i="4"/>
  <c r="M11" i="4"/>
  <c r="H11" i="4"/>
  <c r="H18" i="4" s="1"/>
  <c r="G11" i="4"/>
  <c r="L10" i="4"/>
  <c r="K10" i="4"/>
  <c r="J10" i="4"/>
  <c r="I10" i="4"/>
  <c r="E10" i="4"/>
  <c r="E40" i="4" s="1"/>
  <c r="D10" i="4"/>
  <c r="C10" i="4"/>
  <c r="C40" i="4" s="1"/>
  <c r="Q9" i="4"/>
  <c r="P9" i="4"/>
  <c r="N9" i="4"/>
  <c r="M9" i="4"/>
  <c r="F9" i="4"/>
  <c r="C9" i="4"/>
  <c r="O9" i="4" s="1"/>
  <c r="R8" i="4"/>
  <c r="S8" i="4" s="1"/>
  <c r="Q8" i="4"/>
  <c r="P8" i="4"/>
  <c r="T8" i="4" s="1"/>
  <c r="O8" i="4"/>
  <c r="N8" i="4"/>
  <c r="M8" i="4"/>
  <c r="H8" i="4"/>
  <c r="G8" i="4"/>
  <c r="R7" i="4"/>
  <c r="T7" i="4" s="1"/>
  <c r="Q7" i="4"/>
  <c r="P7" i="4"/>
  <c r="O7" i="4"/>
  <c r="N7" i="4"/>
  <c r="M7" i="4"/>
  <c r="H7" i="4"/>
  <c r="G7" i="4"/>
  <c r="T6" i="4"/>
  <c r="R6" i="4"/>
  <c r="S6" i="4" s="1"/>
  <c r="Q6" i="4"/>
  <c r="P6" i="4"/>
  <c r="O6" i="4"/>
  <c r="N6" i="4"/>
  <c r="M6" i="4"/>
  <c r="H6" i="4"/>
  <c r="G6" i="4"/>
  <c r="B6" i="4"/>
  <c r="B7" i="4" s="1"/>
  <c r="B8" i="4" s="1"/>
  <c r="B9" i="4" s="1"/>
  <c r="B11" i="4" s="1"/>
  <c r="B12" i="4" s="1"/>
  <c r="B13" i="4" s="1"/>
  <c r="B14" i="4" s="1"/>
  <c r="B15" i="4" s="1"/>
  <c r="B16" i="4" s="1"/>
  <c r="B17" i="4" s="1"/>
  <c r="B19" i="4" s="1"/>
  <c r="B20" i="4" s="1"/>
  <c r="B21" i="4" s="1"/>
  <c r="B22" i="4" s="1"/>
  <c r="B23" i="4" s="1"/>
  <c r="B24" i="4" s="1"/>
  <c r="B25" i="4" s="1"/>
  <c r="B27" i="4" s="1"/>
  <c r="B28" i="4" s="1"/>
  <c r="B29" i="4" s="1"/>
  <c r="B30" i="4" s="1"/>
  <c r="B31" i="4" s="1"/>
  <c r="B32" i="4" s="1"/>
  <c r="B33" i="4" s="1"/>
  <c r="B35" i="4" s="1"/>
  <c r="B36" i="4" s="1"/>
  <c r="B37" i="4" s="1"/>
  <c r="B38" i="4" s="1"/>
  <c r="R5" i="4"/>
  <c r="Q5" i="4"/>
  <c r="Q10" i="4" s="1"/>
  <c r="P5" i="4"/>
  <c r="P10" i="4" s="1"/>
  <c r="O5" i="4"/>
  <c r="O10" i="4" s="1"/>
  <c r="N5" i="4"/>
  <c r="N10" i="4" s="1"/>
  <c r="M5" i="4"/>
  <c r="H5" i="4"/>
  <c r="G5" i="4"/>
  <c r="L40" i="3"/>
  <c r="K40" i="3"/>
  <c r="M40" i="3" s="1"/>
  <c r="J40" i="3"/>
  <c r="I40" i="3"/>
  <c r="F40" i="3"/>
  <c r="G40" i="3" s="1"/>
  <c r="E40" i="3"/>
  <c r="D40" i="3"/>
  <c r="C40" i="3"/>
  <c r="T39" i="3"/>
  <c r="S39" i="3"/>
  <c r="R39" i="3"/>
  <c r="Q39" i="3"/>
  <c r="P39" i="3"/>
  <c r="O39" i="3"/>
  <c r="N39" i="3"/>
  <c r="M39" i="3"/>
  <c r="H39" i="3"/>
  <c r="H40" i="3" s="1"/>
  <c r="G39" i="3"/>
  <c r="R38" i="3"/>
  <c r="Q38" i="3"/>
  <c r="Q40" i="3" s="1"/>
  <c r="P38" i="3"/>
  <c r="P40" i="3" s="1"/>
  <c r="O38" i="3"/>
  <c r="O40" i="3" s="1"/>
  <c r="N38" i="3"/>
  <c r="M38" i="3"/>
  <c r="H38" i="3"/>
  <c r="G38" i="3"/>
  <c r="L37" i="3"/>
  <c r="L41" i="3" s="1"/>
  <c r="K37" i="3"/>
  <c r="J37" i="3"/>
  <c r="I37" i="3"/>
  <c r="I41" i="3" s="1"/>
  <c r="F37" i="3"/>
  <c r="G37" i="3" s="1"/>
  <c r="E37" i="3"/>
  <c r="D37" i="3"/>
  <c r="C37" i="3"/>
  <c r="R36" i="3"/>
  <c r="P36" i="3"/>
  <c r="O36" i="3"/>
  <c r="N36" i="3"/>
  <c r="M36" i="3"/>
  <c r="H36" i="3"/>
  <c r="G36" i="3"/>
  <c r="S35" i="3"/>
  <c r="R35" i="3"/>
  <c r="P35" i="3"/>
  <c r="O35" i="3"/>
  <c r="N35" i="3"/>
  <c r="M35" i="3"/>
  <c r="H35" i="3"/>
  <c r="G35" i="3"/>
  <c r="R34" i="3"/>
  <c r="Q34" i="3"/>
  <c r="S34" i="3" s="1"/>
  <c r="P34" i="3"/>
  <c r="O34" i="3"/>
  <c r="N34" i="3"/>
  <c r="M34" i="3"/>
  <c r="H34" i="3"/>
  <c r="G34" i="3"/>
  <c r="S33" i="3"/>
  <c r="R33" i="3"/>
  <c r="Q33" i="3"/>
  <c r="P33" i="3"/>
  <c r="T33" i="3" s="1"/>
  <c r="O33" i="3"/>
  <c r="N33" i="3"/>
  <c r="M33" i="3"/>
  <c r="H33" i="3"/>
  <c r="G33" i="3"/>
  <c r="S32" i="3"/>
  <c r="R32" i="3"/>
  <c r="T32" i="3" s="1"/>
  <c r="Q32" i="3"/>
  <c r="P32" i="3"/>
  <c r="O32" i="3"/>
  <c r="N32" i="3"/>
  <c r="M32" i="3"/>
  <c r="H32" i="3"/>
  <c r="G32" i="3"/>
  <c r="S31" i="3"/>
  <c r="R31" i="3"/>
  <c r="Q31" i="3"/>
  <c r="P31" i="3"/>
  <c r="O31" i="3"/>
  <c r="N31" i="3"/>
  <c r="M31" i="3"/>
  <c r="H31" i="3"/>
  <c r="G31" i="3"/>
  <c r="S30" i="3"/>
  <c r="R30" i="3"/>
  <c r="Q30" i="3"/>
  <c r="Q37" i="3" s="1"/>
  <c r="P30" i="3"/>
  <c r="T30" i="3" s="1"/>
  <c r="O30" i="3"/>
  <c r="N30" i="3"/>
  <c r="N37" i="3" s="1"/>
  <c r="M30" i="3"/>
  <c r="H30" i="3"/>
  <c r="G30" i="3"/>
  <c r="L29" i="3"/>
  <c r="K29" i="3"/>
  <c r="J29" i="3"/>
  <c r="I29" i="3"/>
  <c r="F29" i="3"/>
  <c r="G29" i="3" s="1"/>
  <c r="E29" i="3"/>
  <c r="D29" i="3"/>
  <c r="C29" i="3"/>
  <c r="R28" i="3"/>
  <c r="T28" i="3" s="1"/>
  <c r="Q28" i="3"/>
  <c r="P28" i="3"/>
  <c r="O28" i="3"/>
  <c r="N28" i="3"/>
  <c r="M28" i="3"/>
  <c r="H28" i="3"/>
  <c r="G28" i="3"/>
  <c r="T27" i="3"/>
  <c r="S27" i="3"/>
  <c r="R27" i="3"/>
  <c r="Q27" i="3"/>
  <c r="P27" i="3"/>
  <c r="O27" i="3"/>
  <c r="N27" i="3"/>
  <c r="M27" i="3"/>
  <c r="H27" i="3"/>
  <c r="G27" i="3"/>
  <c r="S26" i="3"/>
  <c r="R26" i="3"/>
  <c r="T26" i="3" s="1"/>
  <c r="Q26" i="3"/>
  <c r="P26" i="3"/>
  <c r="O26" i="3"/>
  <c r="N26" i="3"/>
  <c r="M26" i="3"/>
  <c r="H26" i="3"/>
  <c r="G26" i="3"/>
  <c r="T25" i="3"/>
  <c r="S25" i="3"/>
  <c r="R25" i="3"/>
  <c r="Q25" i="3"/>
  <c r="P25" i="3"/>
  <c r="O25" i="3"/>
  <c r="N25" i="3"/>
  <c r="M25" i="3"/>
  <c r="H25" i="3"/>
  <c r="G25" i="3"/>
  <c r="R24" i="3"/>
  <c r="T24" i="3" s="1"/>
  <c r="Q24" i="3"/>
  <c r="P24" i="3"/>
  <c r="O24" i="3"/>
  <c r="N24" i="3"/>
  <c r="M24" i="3"/>
  <c r="H24" i="3"/>
  <c r="G24" i="3"/>
  <c r="T23" i="3"/>
  <c r="R23" i="3"/>
  <c r="S23" i="3" s="1"/>
  <c r="Q23" i="3"/>
  <c r="P23" i="3"/>
  <c r="O23" i="3"/>
  <c r="N23" i="3"/>
  <c r="M23" i="3"/>
  <c r="H23" i="3"/>
  <c r="G23" i="3"/>
  <c r="T22" i="3"/>
  <c r="S22" i="3"/>
  <c r="R22" i="3"/>
  <c r="Q22" i="3"/>
  <c r="P22" i="3"/>
  <c r="O22" i="3"/>
  <c r="O29" i="3" s="1"/>
  <c r="N22" i="3"/>
  <c r="N29" i="3" s="1"/>
  <c r="M22" i="3"/>
  <c r="H22" i="3"/>
  <c r="G22" i="3"/>
  <c r="L21" i="3"/>
  <c r="M21" i="3" s="1"/>
  <c r="K21" i="3"/>
  <c r="J21" i="3"/>
  <c r="J41" i="3" s="1"/>
  <c r="I21" i="3"/>
  <c r="F21" i="3"/>
  <c r="E21" i="3"/>
  <c r="D21" i="3"/>
  <c r="C21" i="3"/>
  <c r="T20" i="3"/>
  <c r="R20" i="3"/>
  <c r="S20" i="3" s="1"/>
  <c r="Q20" i="3"/>
  <c r="P20" i="3"/>
  <c r="O20" i="3"/>
  <c r="N20" i="3"/>
  <c r="M20" i="3"/>
  <c r="H20" i="3"/>
  <c r="H21" i="3" s="1"/>
  <c r="G20" i="3"/>
  <c r="R19" i="3"/>
  <c r="Q19" i="3"/>
  <c r="P19" i="3"/>
  <c r="O19" i="3"/>
  <c r="N19" i="3"/>
  <c r="M19" i="3"/>
  <c r="H19" i="3"/>
  <c r="G19" i="3"/>
  <c r="R18" i="3"/>
  <c r="Q18" i="3"/>
  <c r="P18" i="3"/>
  <c r="O18" i="3"/>
  <c r="N18" i="3"/>
  <c r="M18" i="3"/>
  <c r="H18" i="3"/>
  <c r="G18" i="3"/>
  <c r="R17" i="3"/>
  <c r="Q17" i="3"/>
  <c r="P17" i="3"/>
  <c r="O17" i="3"/>
  <c r="N17" i="3"/>
  <c r="M17" i="3"/>
  <c r="H17" i="3"/>
  <c r="G17" i="3"/>
  <c r="R16" i="3"/>
  <c r="R21" i="3" s="1"/>
  <c r="Q16" i="3"/>
  <c r="P16" i="3"/>
  <c r="O16" i="3"/>
  <c r="N16" i="3"/>
  <c r="M16" i="3"/>
  <c r="H16" i="3"/>
  <c r="G16" i="3"/>
  <c r="S15" i="3"/>
  <c r="R15" i="3"/>
  <c r="Q15" i="3"/>
  <c r="P15" i="3"/>
  <c r="O15" i="3"/>
  <c r="O21" i="3" s="1"/>
  <c r="N15" i="3"/>
  <c r="M15" i="3"/>
  <c r="H15" i="3"/>
  <c r="G15" i="3"/>
  <c r="T14" i="3"/>
  <c r="S14" i="3"/>
  <c r="R14" i="3"/>
  <c r="Q14" i="3"/>
  <c r="P14" i="3"/>
  <c r="O14" i="3"/>
  <c r="N14" i="3"/>
  <c r="N21" i="3" s="1"/>
  <c r="M14" i="3"/>
  <c r="H14" i="3"/>
  <c r="G14" i="3"/>
  <c r="N13" i="3"/>
  <c r="M13" i="3"/>
  <c r="L13" i="3"/>
  <c r="K13" i="3"/>
  <c r="J13" i="3"/>
  <c r="I13" i="3"/>
  <c r="F13" i="3"/>
  <c r="F41" i="3" s="1"/>
  <c r="G41" i="3" s="1"/>
  <c r="E13" i="3"/>
  <c r="E41" i="3" s="1"/>
  <c r="D13" i="3"/>
  <c r="C13" i="3"/>
  <c r="S12" i="3"/>
  <c r="R12" i="3"/>
  <c r="Q12" i="3"/>
  <c r="P12" i="3"/>
  <c r="T12" i="3" s="1"/>
  <c r="O12" i="3"/>
  <c r="N12" i="3"/>
  <c r="M12" i="3"/>
  <c r="H12" i="3"/>
  <c r="G12" i="3"/>
  <c r="R11" i="3"/>
  <c r="S11" i="3" s="1"/>
  <c r="Q11" i="3"/>
  <c r="P11" i="3"/>
  <c r="O11" i="3"/>
  <c r="N11" i="3"/>
  <c r="M11" i="3"/>
  <c r="H11" i="3"/>
  <c r="G11" i="3"/>
  <c r="R10" i="3"/>
  <c r="Q10" i="3"/>
  <c r="S10" i="3" s="1"/>
  <c r="P10" i="3"/>
  <c r="T10" i="3" s="1"/>
  <c r="O10" i="3"/>
  <c r="N10" i="3"/>
  <c r="M10" i="3"/>
  <c r="H10" i="3"/>
  <c r="G10" i="3"/>
  <c r="B10" i="3"/>
  <c r="B11" i="3" s="1"/>
  <c r="B12" i="3" s="1"/>
  <c r="B14" i="3" s="1"/>
  <c r="B15" i="3" s="1"/>
  <c r="B16" i="3" s="1"/>
  <c r="B17" i="3" s="1"/>
  <c r="B18" i="3" s="1"/>
  <c r="B19" i="3" s="1"/>
  <c r="B20" i="3" s="1"/>
  <c r="B22" i="3" s="1"/>
  <c r="B23" i="3" s="1"/>
  <c r="B24" i="3" s="1"/>
  <c r="B25" i="3" s="1"/>
  <c r="B26" i="3" s="1"/>
  <c r="B27" i="3" s="1"/>
  <c r="B28" i="3" s="1"/>
  <c r="B30" i="3" s="1"/>
  <c r="B31" i="3" s="1"/>
  <c r="B32" i="3" s="1"/>
  <c r="B33" i="3" s="1"/>
  <c r="B34" i="3" s="1"/>
  <c r="B35" i="3" s="1"/>
  <c r="B36" i="3" s="1"/>
  <c r="B38" i="3" s="1"/>
  <c r="B39" i="3" s="1"/>
  <c r="T9" i="3"/>
  <c r="R9" i="3"/>
  <c r="Q9" i="3"/>
  <c r="P9" i="3"/>
  <c r="O9" i="3"/>
  <c r="N9" i="3"/>
  <c r="M9" i="3"/>
  <c r="H9" i="3"/>
  <c r="G9" i="3"/>
  <c r="B9" i="3"/>
  <c r="R8" i="3"/>
  <c r="T8" i="3" s="1"/>
  <c r="Q8" i="3"/>
  <c r="P8" i="3"/>
  <c r="O8" i="3"/>
  <c r="N8" i="3"/>
  <c r="M8" i="3"/>
  <c r="H8" i="3"/>
  <c r="G8" i="3"/>
  <c r="R7" i="3"/>
  <c r="Q7" i="3"/>
  <c r="P7" i="3"/>
  <c r="O7" i="3"/>
  <c r="N7" i="3"/>
  <c r="M7" i="3"/>
  <c r="H7" i="3"/>
  <c r="G7" i="3"/>
  <c r="B7" i="3"/>
  <c r="B8" i="3" s="1"/>
  <c r="R6" i="3"/>
  <c r="Q6" i="3"/>
  <c r="P6" i="3"/>
  <c r="O6" i="3"/>
  <c r="N6" i="3"/>
  <c r="M6" i="3"/>
  <c r="H6" i="3"/>
  <c r="G6" i="3"/>
  <c r="B6" i="3"/>
  <c r="R5" i="3"/>
  <c r="R13" i="3" s="1"/>
  <c r="Q5" i="3"/>
  <c r="Q13" i="3" s="1"/>
  <c r="P5" i="3"/>
  <c r="O5" i="3"/>
  <c r="N5" i="3"/>
  <c r="M5" i="3"/>
  <c r="H5" i="3"/>
  <c r="H13" i="3" s="1"/>
  <c r="G5" i="3"/>
  <c r="K37" i="2"/>
  <c r="J37" i="2"/>
  <c r="L36" i="2"/>
  <c r="M36" i="2" s="1"/>
  <c r="K36" i="2"/>
  <c r="J36" i="2"/>
  <c r="I36" i="2"/>
  <c r="F36" i="2"/>
  <c r="G36" i="2" s="1"/>
  <c r="E36" i="2"/>
  <c r="D36" i="2"/>
  <c r="C36" i="2"/>
  <c r="T35" i="2"/>
  <c r="S35" i="2"/>
  <c r="R35" i="2"/>
  <c r="Q35" i="2"/>
  <c r="P35" i="2"/>
  <c r="O35" i="2"/>
  <c r="O36" i="2" s="1"/>
  <c r="N35" i="2"/>
  <c r="N36" i="2" s="1"/>
  <c r="M35" i="2"/>
  <c r="H35" i="2"/>
  <c r="G35" i="2"/>
  <c r="R34" i="2"/>
  <c r="T34" i="2" s="1"/>
  <c r="Q34" i="2"/>
  <c r="P34" i="2"/>
  <c r="O34" i="2"/>
  <c r="N34" i="2"/>
  <c r="M34" i="2"/>
  <c r="H34" i="2"/>
  <c r="G34" i="2"/>
  <c r="R33" i="2"/>
  <c r="Q33" i="2"/>
  <c r="P33" i="2"/>
  <c r="O33" i="2"/>
  <c r="N33" i="2"/>
  <c r="M33" i="2"/>
  <c r="H33" i="2"/>
  <c r="G33" i="2"/>
  <c r="R32" i="2"/>
  <c r="T32" i="2" s="1"/>
  <c r="Q32" i="2"/>
  <c r="S32" i="2" s="1"/>
  <c r="P32" i="2"/>
  <c r="P36" i="2" s="1"/>
  <c r="O32" i="2"/>
  <c r="N32" i="2"/>
  <c r="M32" i="2"/>
  <c r="H32" i="2"/>
  <c r="G32" i="2"/>
  <c r="R31" i="2"/>
  <c r="Q31" i="2"/>
  <c r="P31" i="2"/>
  <c r="O31" i="2"/>
  <c r="N31" i="2"/>
  <c r="M31" i="2"/>
  <c r="H31" i="2"/>
  <c r="G31" i="2"/>
  <c r="R30" i="2"/>
  <c r="T30" i="2" s="1"/>
  <c r="Q30" i="2"/>
  <c r="P30" i="2"/>
  <c r="O30" i="2"/>
  <c r="N30" i="2"/>
  <c r="M30" i="2"/>
  <c r="H30" i="2"/>
  <c r="G30" i="2"/>
  <c r="M29" i="2"/>
  <c r="L29" i="2"/>
  <c r="K29" i="2"/>
  <c r="J29" i="2"/>
  <c r="I29" i="2"/>
  <c r="F29" i="2"/>
  <c r="E29" i="2"/>
  <c r="D29" i="2"/>
  <c r="C29" i="2"/>
  <c r="T28" i="2"/>
  <c r="R28" i="2"/>
  <c r="S28" i="2" s="1"/>
  <c r="Q28" i="2"/>
  <c r="P28" i="2"/>
  <c r="O28" i="2"/>
  <c r="N28" i="2"/>
  <c r="M28" i="2"/>
  <c r="H28" i="2"/>
  <c r="G28" i="2"/>
  <c r="R27" i="2"/>
  <c r="Q27" i="2"/>
  <c r="P27" i="2"/>
  <c r="O27" i="2"/>
  <c r="N27" i="2"/>
  <c r="M27" i="2"/>
  <c r="H27" i="2"/>
  <c r="G27" i="2"/>
  <c r="R26" i="2"/>
  <c r="S26" i="2" s="1"/>
  <c r="Q26" i="2"/>
  <c r="P26" i="2"/>
  <c r="T26" i="2" s="1"/>
  <c r="O26" i="2"/>
  <c r="N26" i="2"/>
  <c r="M26" i="2"/>
  <c r="H26" i="2"/>
  <c r="H29" i="2" s="1"/>
  <c r="G26" i="2"/>
  <c r="T25" i="2"/>
  <c r="R25" i="2"/>
  <c r="Q25" i="2"/>
  <c r="S25" i="2" s="1"/>
  <c r="P25" i="2"/>
  <c r="O25" i="2"/>
  <c r="N25" i="2"/>
  <c r="M25" i="2"/>
  <c r="H25" i="2"/>
  <c r="G25" i="2"/>
  <c r="R24" i="2"/>
  <c r="T24" i="2" s="1"/>
  <c r="Q24" i="2"/>
  <c r="P24" i="2"/>
  <c r="P29" i="2" s="1"/>
  <c r="O24" i="2"/>
  <c r="N24" i="2"/>
  <c r="M24" i="2"/>
  <c r="H24" i="2"/>
  <c r="G24" i="2"/>
  <c r="R23" i="2"/>
  <c r="T23" i="2" s="1"/>
  <c r="Q23" i="2"/>
  <c r="P23" i="2"/>
  <c r="O23" i="2"/>
  <c r="N23" i="2"/>
  <c r="N29" i="2" s="1"/>
  <c r="M23" i="2"/>
  <c r="H23" i="2"/>
  <c r="G23" i="2"/>
  <c r="R22" i="2"/>
  <c r="T22" i="2" s="1"/>
  <c r="Q22" i="2"/>
  <c r="Q29" i="2" s="1"/>
  <c r="P22" i="2"/>
  <c r="O22" i="2"/>
  <c r="N22" i="2"/>
  <c r="M22" i="2"/>
  <c r="H22" i="2"/>
  <c r="G22" i="2"/>
  <c r="L21" i="2"/>
  <c r="M21" i="2" s="1"/>
  <c r="K21" i="2"/>
  <c r="J21" i="2"/>
  <c r="I21" i="2"/>
  <c r="G21" i="2"/>
  <c r="F21" i="2"/>
  <c r="E21" i="2"/>
  <c r="D21" i="2"/>
  <c r="C21" i="2"/>
  <c r="R20" i="2"/>
  <c r="S20" i="2" s="1"/>
  <c r="Q20" i="2"/>
  <c r="P20" i="2"/>
  <c r="O20" i="2"/>
  <c r="N20" i="2"/>
  <c r="M20" i="2"/>
  <c r="H20" i="2"/>
  <c r="G20" i="2"/>
  <c r="R19" i="2"/>
  <c r="S19" i="2" s="1"/>
  <c r="Q19" i="2"/>
  <c r="P19" i="2"/>
  <c r="O19" i="2"/>
  <c r="N19" i="2"/>
  <c r="M19" i="2"/>
  <c r="H19" i="2"/>
  <c r="G19" i="2"/>
  <c r="T18" i="2"/>
  <c r="S18" i="2"/>
  <c r="R18" i="2"/>
  <c r="Q18" i="2"/>
  <c r="P18" i="2"/>
  <c r="O18" i="2"/>
  <c r="N18" i="2"/>
  <c r="M18" i="2"/>
  <c r="H18" i="2"/>
  <c r="G18" i="2"/>
  <c r="R17" i="2"/>
  <c r="T17" i="2" s="1"/>
  <c r="Q17" i="2"/>
  <c r="P17" i="2"/>
  <c r="O17" i="2"/>
  <c r="N17" i="2"/>
  <c r="M17" i="2"/>
  <c r="H17" i="2"/>
  <c r="G17" i="2"/>
  <c r="R16" i="2"/>
  <c r="T16" i="2" s="1"/>
  <c r="Q16" i="2"/>
  <c r="P16" i="2"/>
  <c r="O16" i="2"/>
  <c r="N16" i="2"/>
  <c r="M16" i="2"/>
  <c r="L16" i="2"/>
  <c r="H16" i="2"/>
  <c r="G16" i="2"/>
  <c r="R15" i="2"/>
  <c r="T15" i="2" s="1"/>
  <c r="Q15" i="2"/>
  <c r="P15" i="2"/>
  <c r="O15" i="2"/>
  <c r="O21" i="2" s="1"/>
  <c r="N15" i="2"/>
  <c r="M15" i="2"/>
  <c r="H15" i="2"/>
  <c r="G15" i="2"/>
  <c r="Q14" i="2"/>
  <c r="Q21" i="2" s="1"/>
  <c r="P14" i="2"/>
  <c r="P21" i="2" s="1"/>
  <c r="O14" i="2"/>
  <c r="L14" i="2"/>
  <c r="H14" i="2"/>
  <c r="G14" i="2"/>
  <c r="R13" i="2"/>
  <c r="M13" i="2"/>
  <c r="L13" i="2"/>
  <c r="L37" i="2" s="1"/>
  <c r="M37" i="2" s="1"/>
  <c r="K13" i="2"/>
  <c r="J13" i="2"/>
  <c r="I13" i="2"/>
  <c r="I37" i="2" s="1"/>
  <c r="F13" i="2"/>
  <c r="E13" i="2"/>
  <c r="D13" i="2"/>
  <c r="C13" i="2"/>
  <c r="C37" i="2" s="1"/>
  <c r="R12" i="2"/>
  <c r="S12" i="2" s="1"/>
  <c r="Q12" i="2"/>
  <c r="P12" i="2"/>
  <c r="O12" i="2"/>
  <c r="N12" i="2"/>
  <c r="M12" i="2"/>
  <c r="H12" i="2"/>
  <c r="G12" i="2"/>
  <c r="S11" i="2"/>
  <c r="R11" i="2"/>
  <c r="Q11" i="2"/>
  <c r="P11" i="2"/>
  <c r="O11" i="2"/>
  <c r="N11" i="2"/>
  <c r="M11" i="2"/>
  <c r="H11" i="2"/>
  <c r="G11" i="2"/>
  <c r="R10" i="2"/>
  <c r="S10" i="2" s="1"/>
  <c r="Q10" i="2"/>
  <c r="P10" i="2"/>
  <c r="T10" i="2" s="1"/>
  <c r="O10" i="2"/>
  <c r="N10" i="2"/>
  <c r="M10" i="2"/>
  <c r="H10" i="2"/>
  <c r="G10" i="2"/>
  <c r="T9" i="2"/>
  <c r="R9" i="2"/>
  <c r="Q9" i="2"/>
  <c r="S9" i="2" s="1"/>
  <c r="P9" i="2"/>
  <c r="O9" i="2"/>
  <c r="N9" i="2"/>
  <c r="M9" i="2"/>
  <c r="H9" i="2"/>
  <c r="G9" i="2"/>
  <c r="R8" i="2"/>
  <c r="S8" i="2" s="1"/>
  <c r="Q8" i="2"/>
  <c r="P8" i="2"/>
  <c r="O8" i="2"/>
  <c r="N8" i="2"/>
  <c r="M8" i="2"/>
  <c r="H8" i="2"/>
  <c r="H13" i="2" s="1"/>
  <c r="G8" i="2"/>
  <c r="F8" i="2"/>
  <c r="R7" i="2"/>
  <c r="Q7" i="2"/>
  <c r="P7" i="2"/>
  <c r="O7" i="2"/>
  <c r="N7" i="2"/>
  <c r="M7" i="2"/>
  <c r="H7" i="2"/>
  <c r="G7" i="2"/>
  <c r="R6" i="2"/>
  <c r="T6" i="2" s="1"/>
  <c r="Q6" i="2"/>
  <c r="P6" i="2"/>
  <c r="O6" i="2"/>
  <c r="N6" i="2"/>
  <c r="M6" i="2"/>
  <c r="H6" i="2"/>
  <c r="G6" i="2"/>
  <c r="B6" i="2"/>
  <c r="B7" i="2" s="1"/>
  <c r="B8" i="2" s="1"/>
  <c r="B9" i="2" s="1"/>
  <c r="B10" i="2" s="1"/>
  <c r="B11" i="2" s="1"/>
  <c r="B12" i="2" s="1"/>
  <c r="B14" i="2" s="1"/>
  <c r="B15" i="2" s="1"/>
  <c r="B16" i="2" s="1"/>
  <c r="B17" i="2" s="1"/>
  <c r="B18" i="2" s="1"/>
  <c r="B19" i="2" s="1"/>
  <c r="B20" i="2" s="1"/>
  <c r="B22" i="2" s="1"/>
  <c r="B23" i="2" s="1"/>
  <c r="B24" i="2" s="1"/>
  <c r="B25" i="2" s="1"/>
  <c r="B26" i="2" s="1"/>
  <c r="B27" i="2" s="1"/>
  <c r="B28" i="2" s="1"/>
  <c r="B30" i="2" s="1"/>
  <c r="B31" i="2" s="1"/>
  <c r="B32" i="2" s="1"/>
  <c r="B33" i="2" s="1"/>
  <c r="B34" i="2" s="1"/>
  <c r="B35" i="2" s="1"/>
  <c r="R5" i="2"/>
  <c r="T5" i="2" s="1"/>
  <c r="Q5" i="2"/>
  <c r="Q13" i="2" s="1"/>
  <c r="P5" i="2"/>
  <c r="P13" i="2" s="1"/>
  <c r="O5" i="2"/>
  <c r="N5" i="2"/>
  <c r="N13" i="2" s="1"/>
  <c r="M5" i="2"/>
  <c r="H5" i="2"/>
  <c r="G5" i="2"/>
  <c r="B57" i="1"/>
  <c r="H54" i="1"/>
  <c r="J40" i="1"/>
  <c r="D40" i="1"/>
  <c r="R39" i="1"/>
  <c r="S39" i="1" s="1"/>
  <c r="L39" i="1"/>
  <c r="K39" i="1"/>
  <c r="J39" i="1"/>
  <c r="I39" i="1"/>
  <c r="G39" i="1"/>
  <c r="F39" i="1"/>
  <c r="E39" i="1"/>
  <c r="D39" i="1"/>
  <c r="C39" i="1"/>
  <c r="S38" i="1"/>
  <c r="P38" i="1"/>
  <c r="T38" i="1" s="1"/>
  <c r="O38" i="1"/>
  <c r="N38" i="1"/>
  <c r="M38" i="1"/>
  <c r="H38" i="1"/>
  <c r="G38" i="1"/>
  <c r="R37" i="1"/>
  <c r="Q37" i="1"/>
  <c r="P37" i="1"/>
  <c r="O37" i="1"/>
  <c r="N37" i="1"/>
  <c r="M37" i="1"/>
  <c r="H37" i="1"/>
  <c r="G37" i="1"/>
  <c r="T36" i="1"/>
  <c r="R36" i="1"/>
  <c r="Q36" i="1"/>
  <c r="P36" i="1"/>
  <c r="O36" i="1"/>
  <c r="N36" i="1"/>
  <c r="M36" i="1"/>
  <c r="H36" i="1"/>
  <c r="G36" i="1"/>
  <c r="R35" i="1"/>
  <c r="T35" i="1" s="1"/>
  <c r="Q35" i="1"/>
  <c r="P35" i="1"/>
  <c r="P39" i="1" s="1"/>
  <c r="O35" i="1"/>
  <c r="N35" i="1"/>
  <c r="M35" i="1"/>
  <c r="H35" i="1"/>
  <c r="G35" i="1"/>
  <c r="S34" i="1"/>
  <c r="R34" i="1"/>
  <c r="Q34" i="1"/>
  <c r="P34" i="1"/>
  <c r="O34" i="1"/>
  <c r="O39" i="1" s="1"/>
  <c r="N34" i="1"/>
  <c r="N39" i="1" s="1"/>
  <c r="M34" i="1"/>
  <c r="H34" i="1"/>
  <c r="G34" i="1"/>
  <c r="R33" i="1"/>
  <c r="T33" i="1" s="1"/>
  <c r="Q33" i="1"/>
  <c r="Q39" i="1" s="1"/>
  <c r="P33" i="1"/>
  <c r="O33" i="1"/>
  <c r="N33" i="1"/>
  <c r="M33" i="1"/>
  <c r="H33" i="1"/>
  <c r="G33" i="1"/>
  <c r="L32" i="1"/>
  <c r="M32" i="1" s="1"/>
  <c r="K32" i="1"/>
  <c r="J32" i="1"/>
  <c r="I32" i="1"/>
  <c r="F32" i="1"/>
  <c r="G32" i="1" s="1"/>
  <c r="E32" i="1"/>
  <c r="D32" i="1"/>
  <c r="C32" i="1"/>
  <c r="T31" i="1"/>
  <c r="S31" i="1"/>
  <c r="R31" i="1"/>
  <c r="Q31" i="1"/>
  <c r="P31" i="1"/>
  <c r="O31" i="1"/>
  <c r="N31" i="1"/>
  <c r="M31" i="1"/>
  <c r="H31" i="1"/>
  <c r="G31" i="1"/>
  <c r="R30" i="1"/>
  <c r="T30" i="1" s="1"/>
  <c r="Q30" i="1"/>
  <c r="P30" i="1"/>
  <c r="O30" i="1"/>
  <c r="N30" i="1"/>
  <c r="M30" i="1"/>
  <c r="H30" i="1"/>
  <c r="G30" i="1"/>
  <c r="R29" i="1"/>
  <c r="Q29" i="1"/>
  <c r="P29" i="1"/>
  <c r="P32" i="1" s="1"/>
  <c r="O29" i="1"/>
  <c r="N29" i="1"/>
  <c r="M29" i="1"/>
  <c r="H29" i="1"/>
  <c r="G29" i="1"/>
  <c r="Q28" i="1"/>
  <c r="P28" i="1"/>
  <c r="O28" i="1"/>
  <c r="N28" i="1"/>
  <c r="M28" i="1"/>
  <c r="H28" i="1"/>
  <c r="G28" i="1"/>
  <c r="F28" i="1"/>
  <c r="R28" i="1" s="1"/>
  <c r="S28" i="1" s="1"/>
  <c r="T27" i="1"/>
  <c r="R27" i="1"/>
  <c r="S27" i="1" s="1"/>
  <c r="Q27" i="1"/>
  <c r="P27" i="1"/>
  <c r="O27" i="1"/>
  <c r="N27" i="1"/>
  <c r="M27" i="1"/>
  <c r="H27" i="1"/>
  <c r="G27" i="1"/>
  <c r="F27" i="1"/>
  <c r="R26" i="1"/>
  <c r="S26" i="1" s="1"/>
  <c r="Q26" i="1"/>
  <c r="Q32" i="1" s="1"/>
  <c r="P26" i="1"/>
  <c r="O26" i="1"/>
  <c r="N26" i="1"/>
  <c r="M26" i="1"/>
  <c r="H26" i="1"/>
  <c r="G26" i="1"/>
  <c r="R25" i="1"/>
  <c r="S25" i="1" s="1"/>
  <c r="Q25" i="1"/>
  <c r="P25" i="1"/>
  <c r="O25" i="1"/>
  <c r="N25" i="1"/>
  <c r="N32" i="1" s="1"/>
  <c r="M25" i="1"/>
  <c r="H25" i="1"/>
  <c r="H32" i="1" s="1"/>
  <c r="G25" i="1"/>
  <c r="M24" i="1"/>
  <c r="L24" i="1"/>
  <c r="K24" i="1"/>
  <c r="J24" i="1"/>
  <c r="I24" i="1"/>
  <c r="F24" i="1"/>
  <c r="G24" i="1" s="1"/>
  <c r="E24" i="1"/>
  <c r="D24" i="1"/>
  <c r="C24" i="1"/>
  <c r="R23" i="1"/>
  <c r="S23" i="1" s="1"/>
  <c r="Q23" i="1"/>
  <c r="P23" i="1"/>
  <c r="T23" i="1" s="1"/>
  <c r="O23" i="1"/>
  <c r="N23" i="1"/>
  <c r="M23" i="1"/>
  <c r="H23" i="1"/>
  <c r="G23" i="1"/>
  <c r="T22" i="1"/>
  <c r="S22" i="1"/>
  <c r="R22" i="1"/>
  <c r="Q22" i="1"/>
  <c r="P22" i="1"/>
  <c r="O22" i="1"/>
  <c r="N22" i="1"/>
  <c r="M22" i="1"/>
  <c r="H22" i="1"/>
  <c r="G22" i="1"/>
  <c r="R21" i="1"/>
  <c r="T21" i="1" s="1"/>
  <c r="Q21" i="1"/>
  <c r="P21" i="1"/>
  <c r="O21" i="1"/>
  <c r="N21" i="1"/>
  <c r="N24" i="1" s="1"/>
  <c r="M21" i="1"/>
  <c r="H21" i="1"/>
  <c r="G21" i="1"/>
  <c r="R20" i="1"/>
  <c r="T20" i="1" s="1"/>
  <c r="Q20" i="1"/>
  <c r="P20" i="1"/>
  <c r="O20" i="1"/>
  <c r="N20" i="1"/>
  <c r="M20" i="1"/>
  <c r="H20" i="1"/>
  <c r="G20" i="1"/>
  <c r="T19" i="1"/>
  <c r="R19" i="1"/>
  <c r="S19" i="1" s="1"/>
  <c r="Q19" i="1"/>
  <c r="P19" i="1"/>
  <c r="O19" i="1"/>
  <c r="N19" i="1"/>
  <c r="M19" i="1"/>
  <c r="H19" i="1"/>
  <c r="G19" i="1"/>
  <c r="R18" i="1"/>
  <c r="T18" i="1" s="1"/>
  <c r="Q18" i="1"/>
  <c r="P18" i="1"/>
  <c r="O18" i="1"/>
  <c r="O24" i="1" s="1"/>
  <c r="N18" i="1"/>
  <c r="M18" i="1"/>
  <c r="H18" i="1"/>
  <c r="G18" i="1"/>
  <c r="R17" i="1"/>
  <c r="R24" i="1" s="1"/>
  <c r="S24" i="1" s="1"/>
  <c r="Q17" i="1"/>
  <c r="Q24" i="1" s="1"/>
  <c r="P17" i="1"/>
  <c r="P24" i="1" s="1"/>
  <c r="O17" i="1"/>
  <c r="N17" i="1"/>
  <c r="M17" i="1"/>
  <c r="H17" i="1"/>
  <c r="H24" i="1" s="1"/>
  <c r="G17" i="1"/>
  <c r="L16" i="1"/>
  <c r="L40" i="1" s="1"/>
  <c r="M40" i="1" s="1"/>
  <c r="K16" i="1"/>
  <c r="K40" i="1" s="1"/>
  <c r="J16" i="1"/>
  <c r="I16" i="1"/>
  <c r="I40" i="1" s="1"/>
  <c r="F16" i="1"/>
  <c r="G16" i="1" s="1"/>
  <c r="E16" i="1"/>
  <c r="E40" i="1" s="1"/>
  <c r="D16" i="1"/>
  <c r="C16" i="1"/>
  <c r="S15" i="1"/>
  <c r="R15" i="1"/>
  <c r="Q15" i="1"/>
  <c r="P15" i="1"/>
  <c r="T15" i="1" s="1"/>
  <c r="O15" i="1"/>
  <c r="N15" i="1"/>
  <c r="M15" i="1"/>
  <c r="H15" i="1"/>
  <c r="G15" i="1"/>
  <c r="R14" i="1"/>
  <c r="T14" i="1" s="1"/>
  <c r="Q14" i="1"/>
  <c r="P14" i="1"/>
  <c r="O14" i="1"/>
  <c r="N14" i="1"/>
  <c r="M14" i="1"/>
  <c r="H14" i="1"/>
  <c r="G14" i="1"/>
  <c r="T13" i="1"/>
  <c r="R13" i="1"/>
  <c r="Q13" i="1"/>
  <c r="S13" i="1" s="1"/>
  <c r="P13" i="1"/>
  <c r="O13" i="1"/>
  <c r="N13" i="1"/>
  <c r="M13" i="1"/>
  <c r="H13" i="1"/>
  <c r="G13" i="1"/>
  <c r="R12" i="1"/>
  <c r="S12" i="1" s="1"/>
  <c r="Q12" i="1"/>
  <c r="P12" i="1"/>
  <c r="T12" i="1" s="1"/>
  <c r="O12" i="1"/>
  <c r="N12" i="1"/>
  <c r="M12" i="1"/>
  <c r="H12" i="1"/>
  <c r="G12" i="1"/>
  <c r="T11" i="1"/>
  <c r="S11" i="1"/>
  <c r="R11" i="1"/>
  <c r="Q11" i="1"/>
  <c r="P11" i="1"/>
  <c r="O11" i="1"/>
  <c r="N11" i="1"/>
  <c r="M11" i="1"/>
  <c r="H11" i="1"/>
  <c r="G11" i="1"/>
  <c r="R10" i="1"/>
  <c r="T10" i="1" s="1"/>
  <c r="Q10" i="1"/>
  <c r="P10" i="1"/>
  <c r="O10" i="1"/>
  <c r="N10" i="1"/>
  <c r="M10" i="1"/>
  <c r="H10" i="1"/>
  <c r="G10" i="1"/>
  <c r="R9" i="1"/>
  <c r="T9" i="1" s="1"/>
  <c r="Q9" i="1"/>
  <c r="P9" i="1"/>
  <c r="O9" i="1"/>
  <c r="N9" i="1"/>
  <c r="M9" i="1"/>
  <c r="H9" i="1"/>
  <c r="G9" i="1"/>
  <c r="T8" i="1"/>
  <c r="R8" i="1"/>
  <c r="S8" i="1" s="1"/>
  <c r="Q8" i="1"/>
  <c r="P8" i="1"/>
  <c r="O8" i="1"/>
  <c r="N8" i="1"/>
  <c r="M8" i="1"/>
  <c r="H8" i="1"/>
  <c r="G8" i="1"/>
  <c r="R7" i="1"/>
  <c r="T7" i="1" s="1"/>
  <c r="Q7" i="1"/>
  <c r="P7" i="1"/>
  <c r="O7" i="1"/>
  <c r="N7" i="1"/>
  <c r="M7" i="1"/>
  <c r="H7" i="1"/>
  <c r="G7" i="1"/>
  <c r="R6" i="1"/>
  <c r="S6" i="1" s="1"/>
  <c r="Q6" i="1"/>
  <c r="P6" i="1"/>
  <c r="O6" i="1"/>
  <c r="N6" i="1"/>
  <c r="M6" i="1"/>
  <c r="H6" i="1"/>
  <c r="G6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7" i="1" s="1"/>
  <c r="B18" i="1" s="1"/>
  <c r="B19" i="1" s="1"/>
  <c r="B20" i="1" s="1"/>
  <c r="B21" i="1" s="1"/>
  <c r="B22" i="1" s="1"/>
  <c r="B23" i="1" s="1"/>
  <c r="B25" i="1" s="1"/>
  <c r="B26" i="1" s="1"/>
  <c r="B27" i="1" s="1"/>
  <c r="B28" i="1" s="1"/>
  <c r="B29" i="1" s="1"/>
  <c r="B30" i="1" s="1"/>
  <c r="B31" i="1" s="1"/>
  <c r="B33" i="1" s="1"/>
  <c r="B34" i="1" s="1"/>
  <c r="B35" i="1" s="1"/>
  <c r="B36" i="1" s="1"/>
  <c r="B37" i="1" s="1"/>
  <c r="B38" i="1" s="1"/>
  <c r="S5" i="1"/>
  <c r="R5" i="1"/>
  <c r="T5" i="1" s="1"/>
  <c r="Q5" i="1"/>
  <c r="Q16" i="1" s="1"/>
  <c r="Q40" i="1" s="1"/>
  <c r="P5" i="1"/>
  <c r="P16" i="1" s="1"/>
  <c r="P40" i="1" s="1"/>
  <c r="O5" i="1"/>
  <c r="O16" i="1" s="1"/>
  <c r="N5" i="1"/>
  <c r="N16" i="1" s="1"/>
  <c r="M5" i="1"/>
  <c r="H5" i="1"/>
  <c r="H16" i="1" s="1"/>
  <c r="G5" i="1"/>
  <c r="T29" i="3" l="1"/>
  <c r="EX21" i="6"/>
  <c r="T36" i="2"/>
  <c r="N37" i="2"/>
  <c r="N40" i="1"/>
  <c r="P37" i="2"/>
  <c r="Q37" i="2"/>
  <c r="S13" i="3"/>
  <c r="FA32" i="6"/>
  <c r="FA34" i="6" s="1"/>
  <c r="T27" i="2"/>
  <c r="T29" i="2" s="1"/>
  <c r="T17" i="3"/>
  <c r="S17" i="3"/>
  <c r="T32" i="4"/>
  <c r="EW32" i="6"/>
  <c r="T12" i="2"/>
  <c r="T11" i="3"/>
  <c r="G21" i="3"/>
  <c r="T5" i="4"/>
  <c r="R10" i="4"/>
  <c r="S5" i="4"/>
  <c r="S7" i="1"/>
  <c r="S18" i="1"/>
  <c r="O32" i="1"/>
  <c r="O40" i="1" s="1"/>
  <c r="D37" i="2"/>
  <c r="S33" i="2"/>
  <c r="Q21" i="3"/>
  <c r="Q41" i="3" s="1"/>
  <c r="T19" i="3"/>
  <c r="EQ17" i="6"/>
  <c r="EQ21" i="6" s="1"/>
  <c r="FD23" i="6"/>
  <c r="FA30" i="6"/>
  <c r="EC18" i="6"/>
  <c r="EV30" i="6"/>
  <c r="EW27" i="6"/>
  <c r="EW19" i="6"/>
  <c r="T31" i="2"/>
  <c r="S31" i="2"/>
  <c r="EN17" i="6"/>
  <c r="FC23" i="6"/>
  <c r="FC17" i="6" s="1"/>
  <c r="FC22" i="6" s="1"/>
  <c r="EY34" i="6"/>
  <c r="G29" i="2"/>
  <c r="G13" i="3"/>
  <c r="H9" i="4"/>
  <c r="R9" i="4"/>
  <c r="G9" i="4"/>
  <c r="T26" i="1"/>
  <c r="T29" i="1"/>
  <c r="S27" i="2"/>
  <c r="T6" i="3"/>
  <c r="S6" i="3"/>
  <c r="S26" i="4"/>
  <c r="S10" i="1"/>
  <c r="S21" i="1"/>
  <c r="S35" i="1"/>
  <c r="S6" i="2"/>
  <c r="E37" i="2"/>
  <c r="H21" i="2"/>
  <c r="H37" i="2" s="1"/>
  <c r="S24" i="2"/>
  <c r="T33" i="2"/>
  <c r="Q36" i="2"/>
  <c r="S8" i="3"/>
  <c r="S19" i="3"/>
  <c r="R29" i="3"/>
  <c r="R41" i="3" s="1"/>
  <c r="M37" i="3"/>
  <c r="T21" i="4"/>
  <c r="T26" i="4" s="1"/>
  <c r="S21" i="4"/>
  <c r="DX22" i="6"/>
  <c r="EX28" i="6"/>
  <c r="EX20" i="6"/>
  <c r="EX22" i="6" s="1"/>
  <c r="EW30" i="6"/>
  <c r="EY31" i="6"/>
  <c r="EY33" i="6" s="1"/>
  <c r="DM54" i="6"/>
  <c r="DJ53" i="6"/>
  <c r="S14" i="1"/>
  <c r="R32" i="1"/>
  <c r="S32" i="1" s="1"/>
  <c r="O13" i="2"/>
  <c r="O37" i="2" s="1"/>
  <c r="T11" i="2"/>
  <c r="F37" i="2"/>
  <c r="G13" i="2"/>
  <c r="N14" i="2"/>
  <c r="N21" i="2" s="1"/>
  <c r="M14" i="2"/>
  <c r="R36" i="2"/>
  <c r="S36" i="2" s="1"/>
  <c r="P13" i="3"/>
  <c r="P37" i="3"/>
  <c r="H10" i="4"/>
  <c r="R31" i="4"/>
  <c r="G31" i="4"/>
  <c r="DM28" i="6"/>
  <c r="DM20" i="6"/>
  <c r="DM22" i="6" s="1"/>
  <c r="EW26" i="6"/>
  <c r="FA26" i="6"/>
  <c r="ED20" i="6"/>
  <c r="ED22" i="6" s="1"/>
  <c r="DW33" i="6"/>
  <c r="DW19" i="6"/>
  <c r="EN33" i="6"/>
  <c r="EN19" i="6"/>
  <c r="EN21" i="6" s="1"/>
  <c r="EC53" i="6"/>
  <c r="DI53" i="6"/>
  <c r="EG53" i="6"/>
  <c r="FB53" i="6" s="1"/>
  <c r="DM53" i="6"/>
  <c r="R37" i="3"/>
  <c r="S37" i="3" s="1"/>
  <c r="FB20" i="6"/>
  <c r="DX21" i="6"/>
  <c r="EF20" i="6"/>
  <c r="EF22" i="6" s="1"/>
  <c r="EF28" i="6"/>
  <c r="FC29" i="6"/>
  <c r="FC33" i="6" s="1"/>
  <c r="EK33" i="6"/>
  <c r="EK34" i="6"/>
  <c r="FD31" i="6"/>
  <c r="FD33" i="6" s="1"/>
  <c r="EP33" i="6"/>
  <c r="BT58" i="6"/>
  <c r="EN57" i="6"/>
  <c r="EN58" i="6" s="1"/>
  <c r="DT57" i="6"/>
  <c r="S22" i="2"/>
  <c r="T25" i="1"/>
  <c r="T32" i="1" s="1"/>
  <c r="T28" i="1"/>
  <c r="T37" i="1"/>
  <c r="S37" i="1"/>
  <c r="T8" i="2"/>
  <c r="S17" i="2"/>
  <c r="T20" i="2"/>
  <c r="S5" i="3"/>
  <c r="O13" i="3"/>
  <c r="S16" i="3"/>
  <c r="S24" i="3"/>
  <c r="M29" i="3"/>
  <c r="FC19" i="6"/>
  <c r="EO53" i="6"/>
  <c r="DU53" i="6"/>
  <c r="CA54" i="6"/>
  <c r="M16" i="1"/>
  <c r="S17" i="1"/>
  <c r="T6" i="1"/>
  <c r="T16" i="1" s="1"/>
  <c r="S9" i="1"/>
  <c r="T17" i="1"/>
  <c r="T24" i="1" s="1"/>
  <c r="S20" i="1"/>
  <c r="S5" i="2"/>
  <c r="R14" i="2"/>
  <c r="T5" i="3"/>
  <c r="T13" i="3" s="1"/>
  <c r="T16" i="3"/>
  <c r="T34" i="3"/>
  <c r="F10" i="4"/>
  <c r="FB28" i="6"/>
  <c r="DV17" i="6"/>
  <c r="DV22" i="6" s="1"/>
  <c r="DV33" i="6"/>
  <c r="EY29" i="6"/>
  <c r="DQ18" i="6"/>
  <c r="EX24" i="6"/>
  <c r="EX18" i="6" s="1"/>
  <c r="EX33" i="6"/>
  <c r="S13" i="2"/>
  <c r="T12" i="4"/>
  <c r="T18" i="4" s="1"/>
  <c r="S12" i="4"/>
  <c r="EN27" i="6"/>
  <c r="S29" i="1"/>
  <c r="S33" i="1"/>
  <c r="Q18" i="4"/>
  <c r="Q40" i="4" s="1"/>
  <c r="DO20" i="6"/>
  <c r="DO22" i="6" s="1"/>
  <c r="DO28" i="6"/>
  <c r="H39" i="1"/>
  <c r="H40" i="1" s="1"/>
  <c r="T34" i="1"/>
  <c r="T39" i="1" s="1"/>
  <c r="M39" i="1"/>
  <c r="H36" i="2"/>
  <c r="N40" i="3"/>
  <c r="N41" i="3" s="1"/>
  <c r="R18" i="4"/>
  <c r="S18" i="4" s="1"/>
  <c r="P26" i="4"/>
  <c r="P40" i="4" s="1"/>
  <c r="FB24" i="6"/>
  <c r="FB18" i="6" s="1"/>
  <c r="DR28" i="6"/>
  <c r="DR20" i="6"/>
  <c r="DR22" i="6" s="1"/>
  <c r="EK53" i="6"/>
  <c r="FC53" i="6" s="1"/>
  <c r="BV54" i="6"/>
  <c r="S30" i="2"/>
  <c r="K41" i="3"/>
  <c r="M41" i="3" s="1"/>
  <c r="R29" i="2"/>
  <c r="S29" i="2" s="1"/>
  <c r="T7" i="3"/>
  <c r="S7" i="3"/>
  <c r="T18" i="3"/>
  <c r="S18" i="3"/>
  <c r="T36" i="3"/>
  <c r="S36" i="3"/>
  <c r="I40" i="4"/>
  <c r="R34" i="4"/>
  <c r="S34" i="4" s="1"/>
  <c r="T29" i="4"/>
  <c r="S29" i="4"/>
  <c r="ED54" i="6"/>
  <c r="DZ55" i="6"/>
  <c r="EY55" i="6" s="1"/>
  <c r="F40" i="1"/>
  <c r="G40" i="1" s="1"/>
  <c r="DW27" i="6"/>
  <c r="DW17" i="6"/>
  <c r="R16" i="1"/>
  <c r="S30" i="1"/>
  <c r="P21" i="3"/>
  <c r="P29" i="3"/>
  <c r="T31" i="3"/>
  <c r="T37" i="3" s="1"/>
  <c r="M22" i="6"/>
  <c r="AC22" i="6"/>
  <c r="AS22" i="6"/>
  <c r="BY22" i="6"/>
  <c r="CO22" i="6"/>
  <c r="FB17" i="6"/>
  <c r="DI27" i="6"/>
  <c r="EV25" i="6"/>
  <c r="DI19" i="6"/>
  <c r="DI21" i="6" s="1"/>
  <c r="DY27" i="6"/>
  <c r="DY19" i="6"/>
  <c r="DY21" i="6" s="1"/>
  <c r="EY25" i="6"/>
  <c r="EP27" i="6"/>
  <c r="EP19" i="6"/>
  <c r="FD25" i="6"/>
  <c r="EP17" i="6"/>
  <c r="EP22" i="6" s="1"/>
  <c r="FD29" i="6"/>
  <c r="EG54" i="6"/>
  <c r="FB52" i="6"/>
  <c r="DH58" i="6"/>
  <c r="EV18" i="6"/>
  <c r="C41" i="3"/>
  <c r="Q29" i="3"/>
  <c r="H37" i="3"/>
  <c r="O18" i="4"/>
  <c r="O40" i="4" s="1"/>
  <c r="AD22" i="6"/>
  <c r="AT22" i="6"/>
  <c r="BJ22" i="6"/>
  <c r="BZ22" i="6"/>
  <c r="CP22" i="6"/>
  <c r="DF22" i="6"/>
  <c r="EO22" i="6"/>
  <c r="DO18" i="6"/>
  <c r="EF18" i="6"/>
  <c r="DJ19" i="6"/>
  <c r="DJ21" i="6" s="1"/>
  <c r="DJ27" i="6"/>
  <c r="DZ27" i="6"/>
  <c r="EJ54" i="6"/>
  <c r="ED58" i="6"/>
  <c r="C40" i="1"/>
  <c r="T7" i="2"/>
  <c r="T13" i="2" s="1"/>
  <c r="S7" i="2"/>
  <c r="S36" i="1"/>
  <c r="S16" i="2"/>
  <c r="T19" i="2"/>
  <c r="O29" i="2"/>
  <c r="S9" i="3"/>
  <c r="D41" i="3"/>
  <c r="T15" i="3"/>
  <c r="H29" i="3"/>
  <c r="H41" i="3" s="1"/>
  <c r="T38" i="3"/>
  <c r="T40" i="3" s="1"/>
  <c r="S38" i="3"/>
  <c r="R40" i="3"/>
  <c r="S40" i="3" s="1"/>
  <c r="L40" i="4"/>
  <c r="M40" i="4" s="1"/>
  <c r="DK21" i="6"/>
  <c r="FB33" i="6"/>
  <c r="DL20" i="6"/>
  <c r="DL22" i="6" s="1"/>
  <c r="DL34" i="6"/>
  <c r="EC20" i="6"/>
  <c r="EC22" i="6" s="1"/>
  <c r="EC34" i="6"/>
  <c r="EV32" i="6"/>
  <c r="EV34" i="6" s="1"/>
  <c r="FC56" i="6"/>
  <c r="N34" i="4"/>
  <c r="DZ22" i="6"/>
  <c r="EY23" i="6"/>
  <c r="EY24" i="6"/>
  <c r="EY18" i="6" s="1"/>
  <c r="DV28" i="6"/>
  <c r="DS33" i="6"/>
  <c r="EJ33" i="6"/>
  <c r="DI34" i="6"/>
  <c r="DY34" i="6"/>
  <c r="EP34" i="6"/>
  <c r="EB33" i="6"/>
  <c r="DU34" i="6"/>
  <c r="EQ52" i="6"/>
  <c r="EQ54" i="6" s="1"/>
  <c r="DW52" i="6"/>
  <c r="CI54" i="6"/>
  <c r="DP53" i="6"/>
  <c r="DP54" i="6" s="1"/>
  <c r="S54" i="6"/>
  <c r="FA56" i="6"/>
  <c r="T15" i="4"/>
  <c r="S15" i="4"/>
  <c r="T24" i="4"/>
  <c r="P34" i="4"/>
  <c r="S36" i="4"/>
  <c r="EV23" i="6"/>
  <c r="EV17" i="6" s="1"/>
  <c r="DN22" i="6"/>
  <c r="EE22" i="6"/>
  <c r="DK34" i="6"/>
  <c r="EB34" i="6"/>
  <c r="ER34" i="6"/>
  <c r="EC52" i="6"/>
  <c r="EP53" i="6"/>
  <c r="FD53" i="6" s="1"/>
  <c r="EP58" i="6"/>
  <c r="FD55" i="6"/>
  <c r="DZ56" i="6"/>
  <c r="DY56" i="6"/>
  <c r="DY58" i="6" s="1"/>
  <c r="DV21" i="6"/>
  <c r="DK17" i="6"/>
  <c r="FA23" i="6"/>
  <c r="FA17" i="6" s="1"/>
  <c r="EB17" i="6"/>
  <c r="EB22" i="6" s="1"/>
  <c r="ER17" i="6"/>
  <c r="ER21" i="6" s="1"/>
  <c r="FD28" i="6"/>
  <c r="EO27" i="6"/>
  <c r="EV29" i="6"/>
  <c r="FB30" i="6"/>
  <c r="AD54" i="6"/>
  <c r="E58" i="6"/>
  <c r="EC55" i="6"/>
  <c r="DI55" i="6"/>
  <c r="DI58" i="6" s="1"/>
  <c r="FC55" i="6"/>
  <c r="O37" i="3"/>
  <c r="T38" i="4"/>
  <c r="J21" i="6"/>
  <c r="Z21" i="6"/>
  <c r="AP21" i="6"/>
  <c r="BF21" i="6"/>
  <c r="BV21" i="6"/>
  <c r="CL21" i="6"/>
  <c r="DB21" i="6"/>
  <c r="EB19" i="6"/>
  <c r="DK20" i="6"/>
  <c r="FC24" i="6"/>
  <c r="FC18" i="6" s="1"/>
  <c r="DJ52" i="6"/>
  <c r="DJ54" i="6" s="1"/>
  <c r="EN52" i="6"/>
  <c r="EN54" i="6" s="1"/>
  <c r="BT54" i="6"/>
  <c r="DT52" i="6"/>
  <c r="DT54" i="6" s="1"/>
  <c r="EO54" i="6"/>
  <c r="EE58" i="6"/>
  <c r="DV57" i="6"/>
  <c r="EY57" i="6" s="1"/>
  <c r="EN22" i="6"/>
  <c r="AV54" i="6"/>
  <c r="DI54" i="6"/>
  <c r="EP54" i="6"/>
  <c r="DR53" i="6"/>
  <c r="EX53" i="6" s="1"/>
  <c r="Q39" i="4"/>
  <c r="DS18" i="6"/>
  <c r="L21" i="6"/>
  <c r="AB21" i="6"/>
  <c r="AR21" i="6"/>
  <c r="BH21" i="6"/>
  <c r="BX21" i="6"/>
  <c r="CN21" i="6"/>
  <c r="DD21" i="6"/>
  <c r="EE19" i="6"/>
  <c r="EE21" i="6" s="1"/>
  <c r="S22" i="6"/>
  <c r="AI22" i="6"/>
  <c r="AY22" i="6"/>
  <c r="BO22" i="6"/>
  <c r="CE22" i="6"/>
  <c r="CU22" i="6"/>
  <c r="DQ20" i="6"/>
  <c r="DQ22" i="6" s="1"/>
  <c r="FA25" i="6"/>
  <c r="DU28" i="6"/>
  <c r="EL28" i="6"/>
  <c r="DV27" i="6"/>
  <c r="EK28" i="6"/>
  <c r="EV31" i="6"/>
  <c r="EV33" i="6" s="1"/>
  <c r="L54" i="6"/>
  <c r="AB54" i="6"/>
  <c r="EV52" i="6"/>
  <c r="BF54" i="6"/>
  <c r="DS58" i="6"/>
  <c r="EG58" i="6"/>
  <c r="S15" i="2"/>
  <c r="S23" i="2"/>
  <c r="S34" i="2"/>
  <c r="S7" i="4"/>
  <c r="M10" i="4"/>
  <c r="S11" i="4"/>
  <c r="M31" i="4"/>
  <c r="R39" i="4"/>
  <c r="S39" i="4" s="1"/>
  <c r="T35" i="4"/>
  <c r="S35" i="4"/>
  <c r="M21" i="6"/>
  <c r="AC21" i="6"/>
  <c r="AS21" i="6"/>
  <c r="BI21" i="6"/>
  <c r="BY21" i="6"/>
  <c r="CO21" i="6"/>
  <c r="DE21" i="6"/>
  <c r="D22" i="6"/>
  <c r="T22" i="6"/>
  <c r="AJ22" i="6"/>
  <c r="AZ22" i="6"/>
  <c r="BP22" i="6"/>
  <c r="CF22" i="6"/>
  <c r="CV22" i="6"/>
  <c r="EQ22" i="6"/>
  <c r="FB25" i="6"/>
  <c r="DN28" i="6"/>
  <c r="EW29" i="6"/>
  <c r="EW17" i="6" s="1"/>
  <c r="DS34" i="6"/>
  <c r="EJ34" i="6"/>
  <c r="EK52" i="6"/>
  <c r="J54" i="6"/>
  <c r="DN58" i="6"/>
  <c r="EH58" i="6"/>
  <c r="CB58" i="6"/>
  <c r="DU56" i="6"/>
  <c r="T23" i="4"/>
  <c r="S23" i="4"/>
  <c r="N21" i="6"/>
  <c r="AD21" i="6"/>
  <c r="AT21" i="6"/>
  <c r="BJ21" i="6"/>
  <c r="BZ21" i="6"/>
  <c r="CP21" i="6"/>
  <c r="DF21" i="6"/>
  <c r="EG21" i="6"/>
  <c r="E22" i="6"/>
  <c r="U22" i="6"/>
  <c r="AK22" i="6"/>
  <c r="BA22" i="6"/>
  <c r="BQ22" i="6"/>
  <c r="CG22" i="6"/>
  <c r="CW22" i="6"/>
  <c r="EX23" i="6"/>
  <c r="EX17" i="6" s="1"/>
  <c r="DQ27" i="6"/>
  <c r="FD24" i="6"/>
  <c r="FD18" i="6" s="1"/>
  <c r="DN52" i="6"/>
  <c r="DN54" i="6" s="1"/>
  <c r="DW53" i="6"/>
  <c r="EY53" i="6" s="1"/>
  <c r="BX58" i="6"/>
  <c r="DT55" i="6"/>
  <c r="DT58" i="6" s="1"/>
  <c r="DO58" i="6"/>
  <c r="EW55" i="6"/>
  <c r="EW58" i="6" s="1"/>
  <c r="H26" i="4"/>
  <c r="ES22" i="6"/>
  <c r="EV26" i="6"/>
  <c r="DX28" i="6"/>
  <c r="EO28" i="6"/>
  <c r="EP28" i="6"/>
  <c r="EE52" i="6"/>
  <c r="EE54" i="6" s="1"/>
  <c r="BC54" i="6"/>
  <c r="DU54" i="6"/>
  <c r="EQ56" i="6"/>
  <c r="EQ58" i="6" s="1"/>
  <c r="DW56" i="6"/>
  <c r="DW58" i="6" s="1"/>
  <c r="FA57" i="6"/>
  <c r="ET22" i="6"/>
  <c r="FA24" i="6"/>
  <c r="FA18" i="6" s="1"/>
  <c r="EB18" i="6"/>
  <c r="DS27" i="6"/>
  <c r="EJ27" i="6"/>
  <c r="DV34" i="6"/>
  <c r="EM34" i="6"/>
  <c r="DX33" i="6"/>
  <c r="EL52" i="6"/>
  <c r="EL54" i="6" s="1"/>
  <c r="CB54" i="6"/>
  <c r="DQ54" i="6"/>
  <c r="CE58" i="6"/>
  <c r="DQ58" i="6"/>
  <c r="EO56" i="6"/>
  <c r="EO58" i="6" s="1"/>
  <c r="S28" i="3"/>
  <c r="T13" i="4"/>
  <c r="N26" i="4"/>
  <c r="N40" i="4" s="1"/>
  <c r="S20" i="4"/>
  <c r="DW22" i="6"/>
  <c r="DT17" i="6"/>
  <c r="DT21" i="6" s="1"/>
  <c r="EK17" i="6"/>
  <c r="EK22" i="6" s="1"/>
  <c r="DJ28" i="6"/>
  <c r="DZ28" i="6"/>
  <c r="EQ28" i="6"/>
  <c r="EX29" i="6"/>
  <c r="EX34" i="6" s="1"/>
  <c r="DQ33" i="6"/>
  <c r="EH33" i="6"/>
  <c r="DQ34" i="6"/>
  <c r="CC54" i="6"/>
  <c r="EB53" i="6"/>
  <c r="EB54" i="6" s="1"/>
  <c r="DH53" i="6"/>
  <c r="EV53" i="6" s="1"/>
  <c r="O54" i="6"/>
  <c r="CI58" i="6"/>
  <c r="EL58" i="6"/>
  <c r="FD56" i="6"/>
  <c r="T35" i="3"/>
  <c r="O26" i="4"/>
  <c r="DN19" i="6"/>
  <c r="DN21" i="6" s="1"/>
  <c r="EM21" i="6"/>
  <c r="I22" i="6"/>
  <c r="Y22" i="6"/>
  <c r="AO22" i="6"/>
  <c r="BE22" i="6"/>
  <c r="BU22" i="6"/>
  <c r="CK22" i="6"/>
  <c r="DA22" i="6"/>
  <c r="EW24" i="6"/>
  <c r="DU27" i="6"/>
  <c r="DU19" i="6"/>
  <c r="DU21" i="6" s="1"/>
  <c r="EL27" i="6"/>
  <c r="EL19" i="6"/>
  <c r="EL21" i="6" s="1"/>
  <c r="DK28" i="6"/>
  <c r="EB28" i="6"/>
  <c r="ER28" i="6"/>
  <c r="ED27" i="6"/>
  <c r="DT28" i="6"/>
  <c r="DH34" i="6"/>
  <c r="DX34" i="6"/>
  <c r="EO34" i="6"/>
  <c r="DU58" i="6"/>
  <c r="EW57" i="6"/>
  <c r="EV55" i="6"/>
  <c r="EV58" i="6" s="1"/>
  <c r="DS56" i="6"/>
  <c r="EX56" i="6" s="1"/>
  <c r="EB58" i="6"/>
  <c r="FD32" i="6"/>
  <c r="DO52" i="6"/>
  <c r="DO54" i="6" s="1"/>
  <c r="EF52" i="6"/>
  <c r="EF54" i="6" s="1"/>
  <c r="BM54" i="6"/>
  <c r="DT56" i="6"/>
  <c r="DR57" i="6"/>
  <c r="EX57" i="6" s="1"/>
  <c r="BP58" i="6"/>
  <c r="DH28" i="6"/>
  <c r="DR52" i="6"/>
  <c r="EX52" i="6" s="1"/>
  <c r="EX54" i="6" s="1"/>
  <c r="EI52" i="6"/>
  <c r="EI54" i="6" s="1"/>
  <c r="DS53" i="6"/>
  <c r="DS54" i="6" s="1"/>
  <c r="FB55" i="6"/>
  <c r="FB58" i="6" s="1"/>
  <c r="EL57" i="6"/>
  <c r="FC57" i="6" s="1"/>
  <c r="S27" i="4"/>
  <c r="S38" i="4"/>
  <c r="DP20" i="6"/>
  <c r="DP22" i="6" s="1"/>
  <c r="EG20" i="6"/>
  <c r="EG22" i="6" s="1"/>
  <c r="J58" i="6"/>
  <c r="S41" i="3" l="1"/>
  <c r="T40" i="1"/>
  <c r="FA52" i="6"/>
  <c r="FB27" i="6"/>
  <c r="FB19" i="6"/>
  <c r="FB21" i="6" s="1"/>
  <c r="DH54" i="6"/>
  <c r="EB21" i="6"/>
  <c r="FB54" i="6"/>
  <c r="EW33" i="6"/>
  <c r="F40" i="4"/>
  <c r="G40" i="4" s="1"/>
  <c r="G10" i="4"/>
  <c r="FC21" i="6"/>
  <c r="EW53" i="6"/>
  <c r="H40" i="4"/>
  <c r="EW52" i="6"/>
  <c r="FC34" i="6"/>
  <c r="FC27" i="6"/>
  <c r="EV20" i="6"/>
  <c r="EV22" i="6" s="1"/>
  <c r="EV28" i="6"/>
  <c r="FD52" i="6"/>
  <c r="FD54" i="6" s="1"/>
  <c r="DW54" i="6"/>
  <c r="P41" i="3"/>
  <c r="DT22" i="6"/>
  <c r="FC28" i="6"/>
  <c r="FD27" i="6"/>
  <c r="FD19" i="6"/>
  <c r="FD21" i="6" s="1"/>
  <c r="DR58" i="6"/>
  <c r="EV54" i="6"/>
  <c r="EP21" i="6"/>
  <c r="O41" i="3"/>
  <c r="DW21" i="6"/>
  <c r="S14" i="2"/>
  <c r="R21" i="2"/>
  <c r="T14" i="2"/>
  <c r="T21" i="2" s="1"/>
  <c r="T37" i="2" s="1"/>
  <c r="G37" i="2"/>
  <c r="FC52" i="6"/>
  <c r="FC54" i="6" s="1"/>
  <c r="EK54" i="6"/>
  <c r="EK21" i="6"/>
  <c r="EY27" i="6"/>
  <c r="EY19" i="6"/>
  <c r="EY21" i="6" s="1"/>
  <c r="EW21" i="6"/>
  <c r="R40" i="4"/>
  <c r="S40" i="4" s="1"/>
  <c r="S10" i="4"/>
  <c r="FA20" i="6"/>
  <c r="FA22" i="6" s="1"/>
  <c r="FA28" i="6"/>
  <c r="T39" i="4"/>
  <c r="EX55" i="6"/>
  <c r="EX58" i="6" s="1"/>
  <c r="EW20" i="6"/>
  <c r="EW22" i="6" s="1"/>
  <c r="EW28" i="6"/>
  <c r="FD34" i="6"/>
  <c r="FD20" i="6"/>
  <c r="R40" i="1"/>
  <c r="S40" i="1" s="1"/>
  <c r="S16" i="1"/>
  <c r="FD58" i="6"/>
  <c r="EC58" i="6"/>
  <c r="FA55" i="6"/>
  <c r="FA58" i="6" s="1"/>
  <c r="EV27" i="6"/>
  <c r="EV19" i="6"/>
  <c r="EV21" i="6" s="1"/>
  <c r="S29" i="3"/>
  <c r="EW18" i="6"/>
  <c r="FA53" i="6"/>
  <c r="ER22" i="6"/>
  <c r="DR54" i="6"/>
  <c r="EC54" i="6"/>
  <c r="EY28" i="6"/>
  <c r="EY17" i="6"/>
  <c r="EY22" i="6" s="1"/>
  <c r="FB22" i="6"/>
  <c r="S21" i="3"/>
  <c r="EY56" i="6"/>
  <c r="EY58" i="6" s="1"/>
  <c r="FC58" i="6"/>
  <c r="DZ58" i="6"/>
  <c r="EX27" i="6"/>
  <c r="EW34" i="6"/>
  <c r="EY52" i="6"/>
  <c r="EY54" i="6" s="1"/>
  <c r="FA19" i="6"/>
  <c r="FA21" i="6" s="1"/>
  <c r="FA27" i="6"/>
  <c r="DV58" i="6"/>
  <c r="DK22" i="6"/>
  <c r="T21" i="3"/>
  <c r="T41" i="3" s="1"/>
  <c r="T31" i="4"/>
  <c r="T34" i="4" s="1"/>
  <c r="S31" i="4"/>
  <c r="T9" i="4"/>
  <c r="T10" i="4" s="1"/>
  <c r="S9" i="4"/>
  <c r="FD17" i="6"/>
  <c r="T40" i="4" l="1"/>
  <c r="FD22" i="6"/>
  <c r="FA54" i="6"/>
  <c r="S21" i="2"/>
  <c r="R37" i="2"/>
  <c r="S37" i="2" s="1"/>
  <c r="EW54" i="6"/>
</calcChain>
</file>

<file path=xl/sharedStrings.xml><?xml version="1.0" encoding="utf-8"?>
<sst xmlns="http://schemas.openxmlformats.org/spreadsheetml/2006/main" count="586" uniqueCount="173">
  <si>
    <t>Week / Date</t>
  </si>
  <si>
    <t>Day Shift</t>
  </si>
  <si>
    <t>Night Shift</t>
  </si>
  <si>
    <t>Daily Total</t>
  </si>
  <si>
    <t>Workers</t>
  </si>
  <si>
    <t>Production Qty</t>
  </si>
  <si>
    <t>Output per Person</t>
  </si>
  <si>
    <t>Net Workers</t>
  </si>
  <si>
    <t>Assigned</t>
  </si>
  <si>
    <t>Plan</t>
  </si>
  <si>
    <t>Actual</t>
  </si>
  <si>
    <t>Achievement Rate</t>
  </si>
  <si>
    <t>Week 1</t>
  </si>
  <si>
    <t>Week 2</t>
  </si>
  <si>
    <t>Week 3</t>
  </si>
  <si>
    <t>Week 4</t>
  </si>
  <si>
    <t>Total</t>
  </si>
  <si>
    <t>Week 5</t>
  </si>
  <si>
    <t>Non-operating</t>
  </si>
  <si>
    <t>□ Issues &amp; Under-Achievement Reasons</t>
  </si>
  <si>
    <t>Date</t>
  </si>
  <si>
    <t>Product</t>
  </si>
  <si>
    <t>Reason</t>
  </si>
  <si>
    <t>Countermeasure</t>
  </si>
  <si>
    <t>Schedule</t>
  </si>
  <si>
    <t>Person in Charge</t>
  </si>
  <si>
    <t>Status</t>
  </si>
  <si>
    <t>Open</t>
  </si>
  <si>
    <t>Close</t>
  </si>
  <si>
    <t>E5SP TOP</t>
  </si>
  <si>
    <t>No notable issues</t>
  </si>
  <si>
    <t>Tape release liner Y-axis fixture broken</t>
  </si>
  <si>
    <t>Manual operation performed; normal operation resumed after repair</t>
  </si>
  <si>
    <t>O</t>
  </si>
  <si>
    <t>SDI site visit: 4-hr manual tape application</t>
  </si>
  <si>
    <t>On-site inspection completed; automation resumed normally</t>
  </si>
  <si>
    <t>Night shift: injection equipment issue caused 220-min stoppage; insufficient molded parts → automation target not met</t>
  </si>
  <si>
    <t>Metering valve fault → valve disassembled, cleaned, and restarted</t>
  </si>
  <si>
    <t>Equipment fault caused work delay – tape dislodgement, product feed belt abnormality</t>
  </si>
  <si>
    <t>Equipment origin reset; temporary belt fix applied; restarted</t>
  </si>
  <si>
    <t>Night shift: silicone release liner Y-axis error</t>
  </si>
  <si>
    <t>Error resolved; restarted (170 min lost during repair)</t>
  </si>
  <si>
    <t>Injection machine stopped due to mold return issue</t>
  </si>
  <si>
    <t>Mold repaired; injection machine restarted at 13:00 (300 min lost); automation restarted at 16:00 after part cooling (520 min lost)</t>
  </si>
  <si>
    <t>Injection machine controller main screen fault: 60 min lost; delayed machine start caused parts shortage: 200 min lost</t>
  </si>
  <si>
    <t>Specialist contractor (Yudo) inspected fault; restarted</t>
  </si>
  <si>
    <t>Day shift: molded parts shortage caused 3-hr automation stoppage</t>
  </si>
  <si>
    <t>3rd mold valve malfunction → equipment stopped; parts shortage caused 430-min automation stoppage</t>
  </si>
  <si>
    <t>Switched to 2nd mold (injection machine stopped 250 min)</t>
  </si>
  <si>
    <t>After 2nd→3rd mold swap, 3rd mold valve fault triggered 3rd→2nd swap (150 min); parts shortage stoppage (170 min)</t>
  </si>
  <si>
    <t>Normal operation after switching to 2nd mold</t>
  </si>
  <si>
    <t>2nd mold gate protrusion repaired; 2nd→3rd mold swap; parts shortage caused 220-min automation loss</t>
  </si>
  <si>
    <t>Normal operation after switching to 3rd mold</t>
  </si>
  <si>
    <t>Injection molding: 1,095 pcs produced (stored without tape application)</t>
  </si>
  <si>
    <t>Week 5 of January (26–30): automation equipment stock replenishment</t>
  </si>
  <si>
    <t>Injection ejector block broken; equipment stopped (23:47)</t>
  </si>
  <si>
    <t>Ejector unit vendor repair scheduled for Jan 30 (Fri)</t>
  </si>
  <si>
    <t>Injection ejector repair: 210 min lost</t>
  </si>
  <si>
    <t>Equipment repaired at 11:30; restarted</t>
  </si>
  <si>
    <t>E5SP TOP (Automation)</t>
  </si>
  <si>
    <t>Silicone peeling X-axis wire broken and misaligned: 530 min lost</t>
  </si>
  <si>
    <t>Equipment repaired; normal operation resumed</t>
  </si>
  <si>
    <t>Injection only; tape application deferred to next weekday. Mold issue (#2: ejector pin broken) → switched to #3. Mold issue (#3: ejector pin broken) → equipment stopped</t>
  </si>
  <si>
    <t>Weekend injection: 405 pcs completed. Mold repair on Monday; equipment restart scheduled</t>
  </si>
  <si>
    <t>Exceeded target by processing previously unworked inventory</t>
  </si>
  <si>
    <t>Gate protrusion mold repaired; equipment restarted at 09:00; work started at 13:00 after part cooling: 300 min lost</t>
  </si>
  <si>
    <t>Unused 1st mold hot runner replaced for production; 3rd mold hot runner inspected/repaired</t>
  </si>
  <si>
    <t>PET rotation left/right vacuum anomaly alarm</t>
  </si>
  <si>
    <t>Origin reset and power cycle performed; restarted</t>
  </si>
  <si>
    <t>Silicone shot section Y-axis and Z-axis failure</t>
  </si>
  <si>
    <t>Equipment repaired and restarted</t>
  </si>
  <si>
    <t>Injection-molded parts shortage due to mid-week overproduction</t>
  </si>
  <si>
    <t>Day-shift automation equipment stopped</t>
  </si>
  <si>
    <t>Injection-molded parts shortage</t>
  </si>
  <si>
    <t>Night-shift automation equipment stopped</t>
  </si>
  <si>
    <t>PET tape defect scraps increased (170 pcs) – dislodged: 32, wrinkled: 44, folded: 90, other: 4</t>
  </si>
  <si>
    <t>PET tape issue identified; improvement requested from supplier</t>
  </si>
  <si>
    <t>Injection-molded parts shortage으로 자동화 설비 정지</t>
  </si>
  <si>
    <t>Automation cycle faster than injection C/T; flexible operation applied</t>
  </si>
  <si>
    <t>Tape dislodgement; improved tape sample testing</t>
  </si>
  <si>
    <t>Equipment inspected and improved parts tested; normal operation resumed</t>
  </si>
  <si>
    <t>Tape release liner peeling fault and excessive micro-stoppages</t>
  </si>
  <si>
    <t>Equipment and tape inspected; restarted</t>
  </si>
  <si>
    <t>Silicone process product transfer jig movement error (delayed resolution)</t>
  </si>
  <si>
    <t>Equipment inspected; restarted (power cycled; transfer jig position checked)</t>
  </si>
  <si>
    <t>Tape process suction fault; equipment stopped</t>
  </si>
  <si>
    <t>Equipment inspected; right-side suction pad replaced; restarted</t>
  </si>
  <si>
    <t>Manual silicone tape operation in progress</t>
  </si>
  <si>
    <t>Safety incident on automation equipment; workers refused to operate automation</t>
  </si>
  <si>
    <t>Night-shift automation stopped; manual work performed; automation issue improvements implemented</t>
  </si>
  <si>
    <t>Robot suction failure</t>
  </si>
  <si>
    <t>Repaired and restarted (50 min lost)</t>
  </si>
  <si>
    <t>Tape right-side vacuum fault; equipment stopped</t>
  </si>
  <si>
    <t>Day-shift inspection on the 9th; restarted</t>
  </si>
  <si>
    <t>Day-shift inspection on the 9th; restarted (200 min lost)</t>
  </si>
  <si>
    <t>E5SP TOP Sunday inspection backlog (315 pcs) completed; E5S TOP inspection proceeded</t>
  </si>
  <si>
    <t>100% achievement when E5SP TOP 315 pcs included</t>
  </si>
  <si>
    <t>Day shift: one worker took half-day PM leave; final output reduced</t>
  </si>
  <si>
    <t>E5S TOP tape application completed around 17:00 on the 15th</t>
  </si>
  <si>
    <t>Day shift E5S TOP completed; night shift E5SP automation started</t>
  </si>
  <si>
    <t>Injection-molded parts shortage due to injection machine issue</t>
  </si>
  <si>
    <t>No notable issues other than micro-stoppages</t>
  </si>
  <si>
    <t>□ Tape Auto-Applicator Production Results</t>
  </si>
  <si>
    <t>□ Daily Results</t>
  </si>
  <si>
    <t>□ 주별 Total</t>
  </si>
  <si>
    <t xml:space="preserve">   □ 주별 평균</t>
  </si>
  <si>
    <t>□ 월별 Total</t>
  </si>
  <si>
    <t xml:space="preserve">   □ 월별 평균</t>
  </si>
  <si>
    <t>Category</t>
  </si>
  <si>
    <t>1-1W</t>
  </si>
  <si>
    <t>1-2W</t>
  </si>
  <si>
    <t>1-3W</t>
  </si>
  <si>
    <t>1-4W</t>
  </si>
  <si>
    <t>1-5W</t>
  </si>
  <si>
    <t>2-1W</t>
  </si>
  <si>
    <t>2-2W</t>
  </si>
  <si>
    <t>2-3W</t>
  </si>
  <si>
    <t>2-4W</t>
  </si>
  <si>
    <t>3-1W</t>
  </si>
  <si>
    <t>3-2W</t>
  </si>
  <si>
    <t>3-3W</t>
  </si>
  <si>
    <t>3-4W</t>
  </si>
  <si>
    <t>3-5W</t>
  </si>
  <si>
    <t>4-1W</t>
  </si>
  <si>
    <t>4-2W</t>
  </si>
  <si>
    <t>4-3W</t>
  </si>
  <si>
    <t>4-4W</t>
  </si>
  <si>
    <t>4-5W</t>
  </si>
  <si>
    <t>1월</t>
  </si>
  <si>
    <t>2월</t>
  </si>
  <si>
    <t>3월</t>
  </si>
  <si>
    <t>4월</t>
  </si>
  <si>
    <t>Input Qty</t>
  </si>
  <si>
    <t>Good Qty</t>
  </si>
  <si>
    <t>In-Process Defects</t>
  </si>
  <si>
    <t>Final Defects</t>
  </si>
  <si>
    <t>In-Process Defect Rate</t>
  </si>
  <si>
    <t>Final Defect Rate</t>
  </si>
  <si>
    <t>□ Tape Auto-Applicator Trouble Log</t>
  </si>
  <si>
    <t>Stoppage Count</t>
  </si>
  <si>
    <t>Long-Duration Loss (min)</t>
  </si>
  <si>
    <t>Total Lost Time (min)</t>
  </si>
  <si>
    <t>Long-Duration Loss Details</t>
  </si>
  <si>
    <t>Loss Detail</t>
  </si>
  <si>
    <t>Tape release liner Y-axis fixture broken; repair: 360 min</t>
  </si>
  <si>
    <t>Silicone application robot Y-axis alarm; repair: 60 min</t>
  </si>
  <si>
    <t>Day shift: 2× unexplained full origin resets (40 min lost); tape dislodgement 1× (20 min lost); night shift: feed belt temp fix (40 min lost)</t>
  </si>
  <si>
    <t>Night shift: silicone release liner Y-axis error repair: 170 min lost</t>
  </si>
  <si>
    <t>Automation equipment tape dislodgement defect repair: 90 min lost</t>
  </si>
  <si>
    <t>Product vacuum suction failure repair: 30 min lost</t>
  </si>
  <si>
    <t>Night shift: transfer device wire breakage stoppage: 110 min lost</t>
  </si>
  <si>
    <t>Unloading chuck broken; chuck redesigned and program updated</t>
  </si>
  <si>
    <t>No long-duration loss</t>
  </si>
  <si>
    <t>Silicone center-axis drift – Chinese engineer remote program adjustment: 50 min lost</t>
  </si>
  <si>
    <t>Silicone shot section Y/Z-axis failure repair: 300 min lost</t>
  </si>
  <si>
    <t>Tape section suction miss repair: 40 min lost</t>
  </si>
  <si>
    <t>Tape sub-material support bracket jam repair: 30 min lost</t>
  </si>
  <si>
    <t>Silicone shot section Z-axis failure repair (50 min lost); tape section vacuum suction miss repair (30 min lost)</t>
  </si>
  <si>
    <t>Tape section cylinder not actuating repair (30 min lost); silicone section jig X-axis not moving repair (50 min lost)</t>
  </si>
  <si>
    <t>Tape dislodgement inspection/adjustment: 120 min lost; release agent removal error: 10 min lost</t>
  </si>
  <si>
    <t>Release liner removal failure repair: 215 min</t>
  </si>
  <si>
    <t>Transfer jig not actuating repair: 90 min</t>
  </si>
  <si>
    <t>Tape right-side suction pad torn; repair: 145 min</t>
  </si>
  <si>
    <t>Non-operating (manual tape work performed)</t>
  </si>
  <si>
    <t>Robot suction failure repair: 50 min lost</t>
  </si>
  <si>
    <t>Tape vacuum fault repair: 60 min lost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</si>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</sst>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\/dd\(aaa\)"/>
    <numFmt numFmtId="165" formatCode="#,##0_ ;[Red]\-#,##0\ "/>
    <numFmt numFmtId="166" formatCode="m&quot;/&quot;d;@"/>
    <numFmt numFmtId="167" formatCode="#,##0_ "/>
    <numFmt numFmtId="168" formatCode="0.0%"/>
    <numFmt numFmtId="169" formatCode="_-* #,##0_-;\-* #,##0_-;_-* &quot;-&quot;_-;_-@_-"/>
  </numFmts>
  <fonts count="11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3"/>
      <charset val="129"/>
      <scheme val="minor"/>
    </font>
    <font>
      <sz val="9"/>
      <color theme="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9"/>
      <color theme="1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sz val="9"/>
      <color rgb="FFFF0000"/>
      <name val="Calibri"/>
      <family val="2"/>
      <charset val="129"/>
      <scheme val="minor"/>
    </font>
    <font>
      <sz val="10"/>
      <color theme="1"/>
      <name val="Calibri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169" fontId="1" fillId="0" borderId="0">
      <alignment vertical="center"/>
    </xf>
    <xf numFmtId="9" fontId="1" fillId="0" borderId="0">
      <alignment vertical="center"/>
    </xf>
  </cellStyleXfs>
  <cellXfs count="25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5" fontId="2" fillId="0" borderId="6" xfId="1" applyNumberFormat="1" applyFont="1" applyBorder="1" applyAlignment="1">
      <alignment horizontal="center" vertical="center"/>
    </xf>
    <xf numFmtId="165" fontId="2" fillId="0" borderId="7" xfId="1" applyNumberFormat="1" applyFont="1" applyBorder="1" applyAlignment="1">
      <alignment horizontal="center" vertical="center"/>
    </xf>
    <xf numFmtId="165" fontId="2" fillId="0" borderId="8" xfId="1" applyNumberFormat="1" applyFont="1" applyBorder="1" applyAlignment="1">
      <alignment horizontal="center" vertical="center"/>
    </xf>
    <xf numFmtId="165" fontId="2" fillId="0" borderId="9" xfId="1" applyNumberFormat="1" applyFont="1" applyBorder="1" applyAlignment="1">
      <alignment horizontal="center" vertical="center"/>
    </xf>
    <xf numFmtId="9" fontId="2" fillId="0" borderId="7" xfId="2" applyFont="1" applyBorder="1" applyAlignment="1">
      <alignment horizontal="center" vertical="center"/>
    </xf>
    <xf numFmtId="165" fontId="2" fillId="0" borderId="10" xfId="1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5" fontId="2" fillId="0" borderId="18" xfId="1" applyNumberFormat="1" applyFont="1" applyBorder="1" applyAlignment="1">
      <alignment horizontal="center" vertical="center"/>
    </xf>
    <xf numFmtId="165" fontId="2" fillId="0" borderId="19" xfId="1" applyNumberFormat="1" applyFont="1" applyBorder="1" applyAlignment="1">
      <alignment horizontal="center" vertical="center"/>
    </xf>
    <xf numFmtId="165" fontId="2" fillId="0" borderId="20" xfId="1" applyNumberFormat="1" applyFont="1" applyBorder="1" applyAlignment="1">
      <alignment horizontal="center" vertical="center"/>
    </xf>
    <xf numFmtId="165" fontId="2" fillId="0" borderId="21" xfId="1" applyNumberFormat="1" applyFont="1" applyBorder="1" applyAlignment="1">
      <alignment horizontal="center" vertical="center"/>
    </xf>
    <xf numFmtId="9" fontId="2" fillId="0" borderId="19" xfId="2" applyFont="1" applyBorder="1" applyAlignment="1">
      <alignment horizontal="center" vertical="center"/>
    </xf>
    <xf numFmtId="165" fontId="2" fillId="0" borderId="22" xfId="1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165" fontId="2" fillId="0" borderId="11" xfId="1" applyNumberFormat="1" applyFont="1" applyBorder="1" applyAlignment="1">
      <alignment horizontal="center" vertical="center"/>
    </xf>
    <xf numFmtId="165" fontId="2" fillId="0" borderId="12" xfId="1" applyNumberFormat="1" applyFont="1" applyBorder="1" applyAlignment="1">
      <alignment horizontal="center" vertical="center"/>
    </xf>
    <xf numFmtId="165" fontId="2" fillId="0" borderId="13" xfId="1" applyNumberFormat="1" applyFont="1" applyBorder="1" applyAlignment="1">
      <alignment horizontal="center" vertical="center"/>
    </xf>
    <xf numFmtId="165" fontId="2" fillId="0" borderId="14" xfId="1" applyNumberFormat="1" applyFont="1" applyBorder="1" applyAlignment="1">
      <alignment horizontal="center" vertical="center"/>
    </xf>
    <xf numFmtId="9" fontId="2" fillId="0" borderId="12" xfId="2" applyFont="1" applyBorder="1" applyAlignment="1">
      <alignment horizontal="center" vertical="center"/>
    </xf>
    <xf numFmtId="165" fontId="2" fillId="0" borderId="15" xfId="1" applyNumberFormat="1" applyFont="1" applyBorder="1" applyAlignment="1">
      <alignment horizontal="center" vertical="center"/>
    </xf>
    <xf numFmtId="166" fontId="2" fillId="3" borderId="5" xfId="0" applyNumberFormat="1" applyFont="1" applyFill="1" applyBorder="1" applyAlignment="1">
      <alignment horizontal="center" vertical="center"/>
    </xf>
    <xf numFmtId="165" fontId="2" fillId="3" borderId="24" xfId="1" applyNumberFormat="1" applyFont="1" applyFill="1" applyBorder="1" applyAlignment="1">
      <alignment horizontal="center" vertical="center"/>
    </xf>
    <xf numFmtId="165" fontId="2" fillId="3" borderId="25" xfId="1" applyNumberFormat="1" applyFont="1" applyFill="1" applyBorder="1" applyAlignment="1">
      <alignment horizontal="center" vertical="center"/>
    </xf>
    <xf numFmtId="165" fontId="2" fillId="3" borderId="26" xfId="1" applyNumberFormat="1" applyFont="1" applyFill="1" applyBorder="1" applyAlignment="1">
      <alignment horizontal="center" vertical="center"/>
    </xf>
    <xf numFmtId="165" fontId="2" fillId="3" borderId="27" xfId="1" applyNumberFormat="1" applyFont="1" applyFill="1" applyBorder="1" applyAlignment="1">
      <alignment horizontal="center" vertical="center"/>
    </xf>
    <xf numFmtId="9" fontId="2" fillId="3" borderId="25" xfId="2" applyFont="1" applyFill="1" applyBorder="1" applyAlignment="1">
      <alignment horizontal="center" vertical="center"/>
    </xf>
    <xf numFmtId="165" fontId="2" fillId="3" borderId="28" xfId="1" applyNumberFormat="1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165" fontId="2" fillId="4" borderId="30" xfId="1" applyNumberFormat="1" applyFont="1" applyFill="1" applyBorder="1" applyAlignment="1">
      <alignment horizontal="center" vertical="center"/>
    </xf>
    <xf numFmtId="165" fontId="2" fillId="4" borderId="31" xfId="1" applyNumberFormat="1" applyFont="1" applyFill="1" applyBorder="1" applyAlignment="1">
      <alignment horizontal="center" vertical="center"/>
    </xf>
    <xf numFmtId="165" fontId="2" fillId="4" borderId="32" xfId="1" applyNumberFormat="1" applyFont="1" applyFill="1" applyBorder="1" applyAlignment="1">
      <alignment horizontal="center" vertical="center"/>
    </xf>
    <xf numFmtId="165" fontId="2" fillId="4" borderId="33" xfId="1" applyNumberFormat="1" applyFont="1" applyFill="1" applyBorder="1" applyAlignment="1">
      <alignment horizontal="center" vertical="center"/>
    </xf>
    <xf numFmtId="9" fontId="2" fillId="4" borderId="31" xfId="2" applyFont="1" applyFill="1" applyBorder="1" applyAlignment="1">
      <alignment horizontal="center" vertical="center"/>
    </xf>
    <xf numFmtId="165" fontId="2" fillId="4" borderId="34" xfId="1" applyNumberFormat="1" applyFont="1" applyFill="1" applyBorder="1" applyAlignment="1">
      <alignment horizontal="center" vertical="center"/>
    </xf>
    <xf numFmtId="9" fontId="2" fillId="0" borderId="0" xfId="2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64" fontId="2" fillId="0" borderId="35" xfId="0" applyNumberFormat="1" applyFont="1" applyBorder="1" applyAlignment="1">
      <alignment horizontal="center" vertical="center"/>
    </xf>
    <xf numFmtId="165" fontId="2" fillId="0" borderId="36" xfId="1" applyNumberFormat="1" applyFont="1" applyBorder="1" applyAlignment="1">
      <alignment horizontal="center" vertical="center"/>
    </xf>
    <xf numFmtId="165" fontId="2" fillId="0" borderId="37" xfId="1" applyNumberFormat="1" applyFont="1" applyBorder="1" applyAlignment="1">
      <alignment horizontal="center" vertical="center"/>
    </xf>
    <xf numFmtId="165" fontId="2" fillId="0" borderId="38" xfId="1" applyNumberFormat="1" applyFont="1" applyBorder="1" applyAlignment="1">
      <alignment horizontal="center" vertical="center"/>
    </xf>
    <xf numFmtId="165" fontId="2" fillId="0" borderId="39" xfId="1" applyNumberFormat="1" applyFont="1" applyBorder="1" applyAlignment="1">
      <alignment horizontal="center" vertical="center"/>
    </xf>
    <xf numFmtId="9" fontId="2" fillId="0" borderId="37" xfId="2" applyFont="1" applyBorder="1" applyAlignment="1">
      <alignment horizontal="center" vertical="center"/>
    </xf>
    <xf numFmtId="165" fontId="2" fillId="0" borderId="40" xfId="1" applyNumberFormat="1" applyFont="1" applyBorder="1" applyAlignment="1">
      <alignment horizontal="center" vertical="center"/>
    </xf>
    <xf numFmtId="164" fontId="2" fillId="0" borderId="41" xfId="0" applyNumberFormat="1" applyFont="1" applyBorder="1" applyAlignment="1">
      <alignment horizontal="center" vertical="center"/>
    </xf>
    <xf numFmtId="165" fontId="2" fillId="0" borderId="42" xfId="1" applyNumberFormat="1" applyFont="1" applyBorder="1" applyAlignment="1">
      <alignment horizontal="center" vertical="center"/>
    </xf>
    <xf numFmtId="165" fontId="2" fillId="0" borderId="43" xfId="1" applyNumberFormat="1" applyFont="1" applyBorder="1" applyAlignment="1">
      <alignment horizontal="center" vertical="center"/>
    </xf>
    <xf numFmtId="165" fontId="2" fillId="0" borderId="44" xfId="1" applyNumberFormat="1" applyFont="1" applyBorder="1" applyAlignment="1">
      <alignment horizontal="center" vertical="center"/>
    </xf>
    <xf numFmtId="165" fontId="2" fillId="0" borderId="45" xfId="1" applyNumberFormat="1" applyFont="1" applyBorder="1" applyAlignment="1">
      <alignment horizontal="center" vertical="center"/>
    </xf>
    <xf numFmtId="9" fontId="2" fillId="0" borderId="43" xfId="2" applyFont="1" applyBorder="1" applyAlignment="1">
      <alignment horizontal="center" vertical="center"/>
    </xf>
    <xf numFmtId="165" fontId="2" fillId="0" borderId="46" xfId="1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66" fontId="3" fillId="6" borderId="47" xfId="0" applyNumberFormat="1" applyFont="1" applyFill="1" applyBorder="1" applyAlignment="1">
      <alignment horizontal="center" vertical="center"/>
    </xf>
    <xf numFmtId="166" fontId="3" fillId="6" borderId="2" xfId="0" applyNumberFormat="1" applyFont="1" applyFill="1" applyBorder="1" applyAlignment="1">
      <alignment horizontal="center" vertical="center"/>
    </xf>
    <xf numFmtId="166" fontId="3" fillId="6" borderId="3" xfId="0" applyNumberFormat="1" applyFont="1" applyFill="1" applyBorder="1" applyAlignment="1">
      <alignment horizontal="center" vertical="center"/>
    </xf>
    <xf numFmtId="166" fontId="3" fillId="6" borderId="4" xfId="0" applyNumberFormat="1" applyFont="1" applyFill="1" applyBorder="1" applyAlignment="1">
      <alignment horizontal="center" vertical="center"/>
    </xf>
    <xf numFmtId="166" fontId="3" fillId="6" borderId="49" xfId="0" applyNumberFormat="1" applyFont="1" applyFill="1" applyBorder="1" applyAlignment="1">
      <alignment horizontal="center" vertical="center"/>
    </xf>
    <xf numFmtId="0" fontId="3" fillId="0" borderId="50" xfId="0" applyFont="1" applyBorder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9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48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7" fontId="3" fillId="0" borderId="52" xfId="0" applyNumberFormat="1" applyFont="1" applyBorder="1" applyAlignment="1">
      <alignment horizontal="center" vertical="center"/>
    </xf>
    <xf numFmtId="167" fontId="3" fillId="0" borderId="51" xfId="0" applyNumberFormat="1" applyFont="1" applyBorder="1" applyAlignment="1">
      <alignment horizontal="center" vertical="center"/>
    </xf>
    <xf numFmtId="167" fontId="3" fillId="0" borderId="53" xfId="0" applyNumberFormat="1" applyFont="1" applyBorder="1" applyAlignment="1">
      <alignment horizontal="center" vertical="center"/>
    </xf>
    <xf numFmtId="167" fontId="3" fillId="0" borderId="10" xfId="0" applyNumberFormat="1" applyFont="1" applyBorder="1" applyAlignment="1">
      <alignment horizontal="center" vertical="center"/>
    </xf>
    <xf numFmtId="167" fontId="3" fillId="0" borderId="54" xfId="0" applyNumberFormat="1" applyFont="1" applyBorder="1" applyAlignment="1">
      <alignment horizontal="center" vertical="center"/>
    </xf>
    <xf numFmtId="167" fontId="3" fillId="0" borderId="16" xfId="0" applyNumberFormat="1" applyFont="1" applyBorder="1" applyAlignment="1">
      <alignment horizontal="center" vertical="center"/>
    </xf>
    <xf numFmtId="167" fontId="3" fillId="0" borderId="55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67" fontId="5" fillId="0" borderId="57" xfId="0" applyNumberFormat="1" applyFont="1" applyBorder="1" applyAlignment="1">
      <alignment horizontal="center" vertical="center"/>
    </xf>
    <xf numFmtId="167" fontId="5" fillId="0" borderId="56" xfId="0" applyNumberFormat="1" applyFont="1" applyBorder="1" applyAlignment="1">
      <alignment horizontal="center" vertical="center"/>
    </xf>
    <xf numFmtId="167" fontId="5" fillId="0" borderId="58" xfId="0" applyNumberFormat="1" applyFont="1" applyBorder="1" applyAlignment="1">
      <alignment horizontal="center" vertical="center"/>
    </xf>
    <xf numFmtId="167" fontId="5" fillId="0" borderId="22" xfId="0" applyNumberFormat="1" applyFont="1" applyBorder="1" applyAlignment="1">
      <alignment horizontal="center" vertical="center"/>
    </xf>
    <xf numFmtId="167" fontId="5" fillId="0" borderId="59" xfId="0" applyNumberFormat="1" applyFont="1" applyBorder="1" applyAlignment="1">
      <alignment horizontal="center" vertical="center"/>
    </xf>
    <xf numFmtId="0" fontId="5" fillId="0" borderId="50" xfId="0" applyFont="1" applyBorder="1">
      <alignment vertical="center"/>
    </xf>
    <xf numFmtId="0" fontId="5" fillId="0" borderId="0" xfId="0" applyFont="1">
      <alignment vertical="center"/>
    </xf>
    <xf numFmtId="167" fontId="5" fillId="0" borderId="17" xfId="0" applyNumberFormat="1" applyFont="1" applyBorder="1" applyAlignment="1">
      <alignment horizontal="center" vertical="center"/>
    </xf>
    <xf numFmtId="167" fontId="5" fillId="0" borderId="60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7" fontId="3" fillId="0" borderId="57" xfId="0" applyNumberFormat="1" applyFont="1" applyBorder="1" applyAlignment="1">
      <alignment horizontal="center" vertical="center"/>
    </xf>
    <xf numFmtId="167" fontId="3" fillId="0" borderId="56" xfId="0" applyNumberFormat="1" applyFont="1" applyBorder="1" applyAlignment="1">
      <alignment horizontal="center" vertical="center"/>
    </xf>
    <xf numFmtId="167" fontId="3" fillId="0" borderId="58" xfId="0" applyNumberFormat="1" applyFont="1" applyBorder="1" applyAlignment="1">
      <alignment horizontal="center" vertical="center"/>
    </xf>
    <xf numFmtId="167" fontId="3" fillId="0" borderId="22" xfId="0" applyNumberFormat="1" applyFont="1" applyBorder="1" applyAlignment="1">
      <alignment horizontal="center" vertical="center"/>
    </xf>
    <xf numFmtId="167" fontId="3" fillId="0" borderId="59" xfId="0" applyNumberFormat="1" applyFont="1" applyBorder="1" applyAlignment="1">
      <alignment horizontal="center" vertical="center"/>
    </xf>
    <xf numFmtId="167" fontId="3" fillId="0" borderId="17" xfId="0" applyNumberFormat="1" applyFont="1" applyBorder="1" applyAlignment="1">
      <alignment horizontal="center" vertical="center"/>
    </xf>
    <xf numFmtId="167" fontId="3" fillId="0" borderId="60" xfId="0" applyNumberFormat="1" applyFont="1" applyBorder="1" applyAlignment="1">
      <alignment horizontal="center" vertical="center"/>
    </xf>
    <xf numFmtId="9" fontId="3" fillId="0" borderId="22" xfId="2" applyFont="1" applyBorder="1" applyAlignment="1">
      <alignment horizontal="center" vertical="center"/>
    </xf>
    <xf numFmtId="9" fontId="3" fillId="0" borderId="57" xfId="2" applyFont="1" applyBorder="1" applyAlignment="1">
      <alignment horizontal="center" vertical="center"/>
    </xf>
    <xf numFmtId="9" fontId="3" fillId="0" borderId="56" xfId="2" applyFont="1" applyBorder="1" applyAlignment="1">
      <alignment horizontal="center" vertical="center"/>
    </xf>
    <xf numFmtId="9" fontId="3" fillId="0" borderId="58" xfId="2" applyFont="1" applyBorder="1" applyAlignment="1">
      <alignment horizontal="center" vertical="center"/>
    </xf>
    <xf numFmtId="168" fontId="3" fillId="0" borderId="56" xfId="2" applyNumberFormat="1" applyFont="1" applyBorder="1" applyAlignment="1">
      <alignment horizontal="center" vertical="center"/>
    </xf>
    <xf numFmtId="168" fontId="3" fillId="0" borderId="58" xfId="2" applyNumberFormat="1" applyFont="1" applyBorder="1" applyAlignment="1">
      <alignment horizontal="center" vertical="center"/>
    </xf>
    <xf numFmtId="168" fontId="3" fillId="0" borderId="22" xfId="2" applyNumberFormat="1" applyFont="1" applyBorder="1" applyAlignment="1">
      <alignment horizontal="center" vertical="center"/>
    </xf>
    <xf numFmtId="168" fontId="3" fillId="0" borderId="59" xfId="2" applyNumberFormat="1" applyFont="1" applyBorder="1" applyAlignment="1">
      <alignment horizontal="center" vertical="center"/>
    </xf>
    <xf numFmtId="168" fontId="3" fillId="0" borderId="57" xfId="2" applyNumberFormat="1" applyFont="1" applyBorder="1" applyAlignment="1">
      <alignment horizontal="center" vertical="center"/>
    </xf>
    <xf numFmtId="168" fontId="3" fillId="0" borderId="50" xfId="0" applyNumberFormat="1" applyFont="1" applyBorder="1">
      <alignment vertical="center"/>
    </xf>
    <xf numFmtId="168" fontId="3" fillId="0" borderId="0" xfId="0" applyNumberFormat="1" applyFont="1">
      <alignment vertical="center"/>
    </xf>
    <xf numFmtId="168" fontId="3" fillId="0" borderId="17" xfId="2" applyNumberFormat="1" applyFont="1" applyBorder="1" applyAlignment="1">
      <alignment horizontal="center" vertical="center"/>
    </xf>
    <xf numFmtId="168" fontId="3" fillId="0" borderId="60" xfId="2" applyNumberFormat="1" applyFont="1" applyBorder="1" applyAlignment="1">
      <alignment horizontal="center" vertical="center"/>
    </xf>
    <xf numFmtId="9" fontId="5" fillId="0" borderId="62" xfId="2" applyFont="1" applyBorder="1" applyAlignment="1">
      <alignment horizontal="center" vertical="center"/>
    </xf>
    <xf numFmtId="168" fontId="5" fillId="0" borderId="63" xfId="2" applyNumberFormat="1" applyFont="1" applyBorder="1" applyAlignment="1">
      <alignment horizontal="center" vertical="center"/>
    </xf>
    <xf numFmtId="168" fontId="5" fillId="0" borderId="61" xfId="2" applyNumberFormat="1" applyFont="1" applyBorder="1" applyAlignment="1">
      <alignment horizontal="center" vertical="center"/>
    </xf>
    <xf numFmtId="168" fontId="5" fillId="0" borderId="64" xfId="2" applyNumberFormat="1" applyFont="1" applyBorder="1" applyAlignment="1">
      <alignment horizontal="center" vertical="center"/>
    </xf>
    <xf numFmtId="168" fontId="5" fillId="0" borderId="62" xfId="2" applyNumberFormat="1" applyFont="1" applyBorder="1" applyAlignment="1">
      <alignment horizontal="center" vertical="center"/>
    </xf>
    <xf numFmtId="168" fontId="5" fillId="0" borderId="65" xfId="2" applyNumberFormat="1" applyFont="1" applyBorder="1" applyAlignment="1">
      <alignment horizontal="center" vertical="center"/>
    </xf>
    <xf numFmtId="168" fontId="5" fillId="0" borderId="66" xfId="2" applyNumberFormat="1" applyFont="1" applyBorder="1" applyAlignment="1">
      <alignment horizontal="center" vertical="center"/>
    </xf>
    <xf numFmtId="168" fontId="5" fillId="0" borderId="67" xfId="2" applyNumberFormat="1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67" fontId="3" fillId="0" borderId="69" xfId="0" applyNumberFormat="1" applyFont="1" applyBorder="1" applyAlignment="1">
      <alignment horizontal="center" vertical="center"/>
    </xf>
    <xf numFmtId="167" fontId="3" fillId="0" borderId="68" xfId="0" applyNumberFormat="1" applyFont="1" applyBorder="1" applyAlignment="1">
      <alignment horizontal="center" vertical="center"/>
    </xf>
    <xf numFmtId="167" fontId="3" fillId="0" borderId="70" xfId="0" applyNumberFormat="1" applyFont="1" applyBorder="1" applyAlignment="1">
      <alignment horizontal="center" vertical="center"/>
    </xf>
    <xf numFmtId="167" fontId="3" fillId="0" borderId="40" xfId="0" applyNumberFormat="1" applyFont="1" applyBorder="1" applyAlignment="1">
      <alignment horizontal="center" vertical="center"/>
    </xf>
    <xf numFmtId="167" fontId="3" fillId="0" borderId="71" xfId="0" applyNumberFormat="1" applyFont="1" applyBorder="1" applyAlignment="1">
      <alignment horizontal="center" vertical="center"/>
    </xf>
    <xf numFmtId="167" fontId="3" fillId="0" borderId="35" xfId="0" applyNumberFormat="1" applyFont="1" applyBorder="1" applyAlignment="1">
      <alignment horizontal="center" vertical="center"/>
    </xf>
    <xf numFmtId="167" fontId="3" fillId="0" borderId="72" xfId="0" applyNumberFormat="1" applyFont="1" applyBorder="1" applyAlignment="1">
      <alignment horizontal="center" vertical="center"/>
    </xf>
    <xf numFmtId="9" fontId="3" fillId="0" borderId="15" xfId="2" applyFont="1" applyBorder="1" applyAlignment="1">
      <alignment horizontal="center" vertical="center"/>
    </xf>
    <xf numFmtId="168" fontId="3" fillId="0" borderId="74" xfId="2" applyNumberFormat="1" applyFont="1" applyBorder="1" applyAlignment="1">
      <alignment horizontal="center" vertical="center"/>
    </xf>
    <xf numFmtId="168" fontId="3" fillId="0" borderId="73" xfId="2" applyNumberFormat="1" applyFont="1" applyBorder="1" applyAlignment="1">
      <alignment horizontal="center" vertical="center"/>
    </xf>
    <xf numFmtId="168" fontId="3" fillId="0" borderId="75" xfId="2" applyNumberFormat="1" applyFont="1" applyBorder="1" applyAlignment="1">
      <alignment horizontal="center" vertical="center"/>
    </xf>
    <xf numFmtId="168" fontId="3" fillId="0" borderId="15" xfId="2" applyNumberFormat="1" applyFont="1" applyBorder="1" applyAlignment="1">
      <alignment horizontal="center" vertical="center"/>
    </xf>
    <xf numFmtId="168" fontId="3" fillId="0" borderId="76" xfId="2" applyNumberFormat="1" applyFont="1" applyBorder="1" applyAlignment="1">
      <alignment horizontal="center" vertical="center"/>
    </xf>
    <xf numFmtId="168" fontId="3" fillId="0" borderId="23" xfId="2" applyNumberFormat="1" applyFont="1" applyBorder="1" applyAlignment="1">
      <alignment horizontal="center" vertical="center"/>
    </xf>
    <xf numFmtId="168" fontId="3" fillId="0" borderId="77" xfId="2" applyNumberFormat="1" applyFont="1" applyBorder="1" applyAlignment="1">
      <alignment horizontal="center" vertical="center"/>
    </xf>
    <xf numFmtId="9" fontId="3" fillId="0" borderId="62" xfId="2" applyFont="1" applyBorder="1" applyAlignment="1">
      <alignment horizontal="center" vertical="center"/>
    </xf>
    <xf numFmtId="168" fontId="3" fillId="0" borderId="63" xfId="2" applyNumberFormat="1" applyFont="1" applyBorder="1" applyAlignment="1">
      <alignment horizontal="center" vertical="center"/>
    </xf>
    <xf numFmtId="168" fontId="3" fillId="0" borderId="61" xfId="2" applyNumberFormat="1" applyFont="1" applyBorder="1" applyAlignment="1">
      <alignment horizontal="center" vertical="center"/>
    </xf>
    <xf numFmtId="168" fontId="3" fillId="0" borderId="64" xfId="2" applyNumberFormat="1" applyFont="1" applyBorder="1" applyAlignment="1">
      <alignment horizontal="center" vertical="center"/>
    </xf>
    <xf numFmtId="168" fontId="3" fillId="0" borderId="62" xfId="2" applyNumberFormat="1" applyFont="1" applyBorder="1" applyAlignment="1">
      <alignment horizontal="center" vertical="center"/>
    </xf>
    <xf numFmtId="168" fontId="3" fillId="0" borderId="65" xfId="2" applyNumberFormat="1" applyFont="1" applyBorder="1" applyAlignment="1">
      <alignment horizontal="center" vertical="center"/>
    </xf>
    <xf numFmtId="168" fontId="3" fillId="0" borderId="66" xfId="2" applyNumberFormat="1" applyFont="1" applyBorder="1" applyAlignment="1">
      <alignment horizontal="center" vertical="center"/>
    </xf>
    <xf numFmtId="168" fontId="3" fillId="0" borderId="67" xfId="2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167" fontId="5" fillId="0" borderId="74" xfId="0" applyNumberFormat="1" applyFont="1" applyBorder="1" applyAlignment="1">
      <alignment horizontal="center" vertical="center"/>
    </xf>
    <xf numFmtId="167" fontId="5" fillId="0" borderId="73" xfId="0" applyNumberFormat="1" applyFont="1" applyBorder="1" applyAlignment="1">
      <alignment horizontal="center" vertical="center"/>
    </xf>
    <xf numFmtId="167" fontId="5" fillId="0" borderId="75" xfId="0" applyNumberFormat="1" applyFont="1" applyBorder="1" applyAlignment="1">
      <alignment horizontal="center" vertical="center"/>
    </xf>
    <xf numFmtId="167" fontId="5" fillId="0" borderId="15" xfId="0" applyNumberFormat="1" applyFont="1" applyBorder="1" applyAlignment="1">
      <alignment horizontal="center" vertical="center"/>
    </xf>
    <xf numFmtId="167" fontId="5" fillId="0" borderId="76" xfId="0" applyNumberFormat="1" applyFont="1" applyBorder="1" applyAlignment="1">
      <alignment horizontal="center" vertical="center"/>
    </xf>
    <xf numFmtId="167" fontId="5" fillId="0" borderId="23" xfId="0" applyNumberFormat="1" applyFont="1" applyBorder="1" applyAlignment="1">
      <alignment horizontal="center" vertical="center"/>
    </xf>
    <xf numFmtId="167" fontId="5" fillId="0" borderId="77" xfId="0" applyNumberFormat="1" applyFont="1" applyBorder="1" applyAlignment="1">
      <alignment horizontal="center" vertical="center"/>
    </xf>
    <xf numFmtId="167" fontId="6" fillId="0" borderId="78" xfId="0" applyNumberFormat="1" applyFont="1" applyBorder="1" applyAlignment="1">
      <alignment horizontal="center" vertical="center"/>
    </xf>
    <xf numFmtId="167" fontId="6" fillId="0" borderId="79" xfId="0" applyNumberFormat="1" applyFont="1" applyBorder="1" applyAlignment="1">
      <alignment horizontal="center" vertical="center"/>
    </xf>
    <xf numFmtId="167" fontId="6" fillId="0" borderId="80" xfId="0" applyNumberFormat="1" applyFont="1" applyBorder="1" applyAlignment="1">
      <alignment horizontal="center" vertical="center"/>
    </xf>
    <xf numFmtId="167" fontId="6" fillId="0" borderId="46" xfId="0" applyNumberFormat="1" applyFont="1" applyBorder="1" applyAlignment="1">
      <alignment horizontal="center" vertical="center"/>
    </xf>
    <xf numFmtId="167" fontId="6" fillId="0" borderId="81" xfId="0" applyNumberFormat="1" applyFont="1" applyBorder="1" applyAlignment="1">
      <alignment horizontal="center" vertical="center"/>
    </xf>
    <xf numFmtId="167" fontId="6" fillId="0" borderId="41" xfId="0" applyNumberFormat="1" applyFont="1" applyBorder="1" applyAlignment="1">
      <alignment horizontal="center" vertical="center"/>
    </xf>
    <xf numFmtId="167" fontId="6" fillId="0" borderId="82" xfId="0" applyNumberFormat="1" applyFont="1" applyBorder="1" applyAlignment="1">
      <alignment horizontal="center" vertical="center"/>
    </xf>
    <xf numFmtId="167" fontId="5" fillId="0" borderId="63" xfId="0" applyNumberFormat="1" applyFont="1" applyBorder="1" applyAlignment="1">
      <alignment horizontal="center" vertical="center"/>
    </xf>
    <xf numFmtId="167" fontId="5" fillId="0" borderId="61" xfId="0" applyNumberFormat="1" applyFont="1" applyBorder="1" applyAlignment="1">
      <alignment horizontal="center" vertical="center"/>
    </xf>
    <xf numFmtId="167" fontId="5" fillId="0" borderId="64" xfId="0" applyNumberFormat="1" applyFont="1" applyBorder="1" applyAlignment="1">
      <alignment horizontal="center" vertical="center"/>
    </xf>
    <xf numFmtId="167" fontId="5" fillId="0" borderId="62" xfId="0" applyNumberFormat="1" applyFont="1" applyBorder="1" applyAlignment="1">
      <alignment horizontal="center" vertical="center"/>
    </xf>
    <xf numFmtId="167" fontId="5" fillId="0" borderId="65" xfId="0" applyNumberFormat="1" applyFont="1" applyBorder="1" applyAlignment="1">
      <alignment horizontal="center" vertical="center"/>
    </xf>
    <xf numFmtId="167" fontId="5" fillId="0" borderId="66" xfId="0" applyNumberFormat="1" applyFont="1" applyBorder="1" applyAlignment="1">
      <alignment horizontal="center" vertical="center"/>
    </xf>
    <xf numFmtId="167" fontId="5" fillId="0" borderId="67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0" fontId="3" fillId="0" borderId="83" xfId="0" applyFont="1" applyBorder="1">
      <alignment vertical="center"/>
    </xf>
    <xf numFmtId="166" fontId="3" fillId="0" borderId="0" xfId="0" applyNumberFormat="1" applyFont="1" applyAlignment="1">
      <alignment horizontal="center" vertical="center"/>
    </xf>
    <xf numFmtId="9" fontId="3" fillId="0" borderId="0" xfId="2" applyFont="1">
      <alignment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84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9" fontId="2" fillId="0" borderId="3" xfId="2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87" xfId="0" applyNumberFormat="1" applyFont="1" applyBorder="1" applyAlignment="1">
      <alignment horizontal="center" vertical="center"/>
    </xf>
    <xf numFmtId="9" fontId="2" fillId="0" borderId="87" xfId="2" applyFont="1" applyBorder="1" applyAlignment="1">
      <alignment horizontal="center" vertical="center"/>
    </xf>
    <xf numFmtId="0" fontId="2" fillId="0" borderId="87" xfId="0" applyFont="1" applyBorder="1" applyAlignment="1">
      <alignment horizontal="left" vertical="center" wrapText="1"/>
    </xf>
    <xf numFmtId="0" fontId="2" fillId="0" borderId="87" xfId="0" applyFont="1" applyBorder="1" applyAlignment="1">
      <alignment horizontal="center" vertical="center" wrapText="1"/>
    </xf>
    <xf numFmtId="166" fontId="2" fillId="0" borderId="87" xfId="0" applyNumberFormat="1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87" xfId="0" applyFont="1" applyBorder="1" applyAlignment="1">
      <alignment horizontal="left" vertical="center"/>
    </xf>
    <xf numFmtId="164" fontId="2" fillId="0" borderId="84" xfId="0" applyNumberFormat="1" applyFont="1" applyBorder="1" applyAlignment="1">
      <alignment horizontal="center" vertical="center"/>
    </xf>
    <xf numFmtId="9" fontId="2" fillId="0" borderId="84" xfId="2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84" xfId="0" applyFont="1" applyBorder="1" applyAlignment="1">
      <alignment horizontal="left" vertical="center"/>
    </xf>
    <xf numFmtId="166" fontId="2" fillId="0" borderId="84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84" xfId="0" applyFont="1" applyBorder="1" applyAlignment="1">
      <alignment horizontal="left" vertical="center" wrapText="1"/>
    </xf>
    <xf numFmtId="0" fontId="9" fillId="0" borderId="90" xfId="0" applyFont="1" applyBorder="1" applyAlignment="1">
      <alignment horizontal="left" vertical="center" wrapText="1" readingOrder="1"/>
    </xf>
    <xf numFmtId="0" fontId="9" fillId="0" borderId="90" xfId="0" applyFont="1" applyBorder="1" applyAlignment="1">
      <alignment horizontal="center" vertical="center" wrapText="1" readingOrder="1"/>
    </xf>
    <xf numFmtId="9" fontId="2" fillId="0" borderId="89" xfId="2" applyFont="1" applyBorder="1" applyAlignment="1">
      <alignment horizontal="center" vertical="center"/>
    </xf>
    <xf numFmtId="0" fontId="9" fillId="0" borderId="91" xfId="0" applyFont="1" applyBorder="1" applyAlignment="1">
      <alignment horizontal="left" vertical="center" wrapText="1" readingOrder="1"/>
    </xf>
    <xf numFmtId="0" fontId="9" fillId="0" borderId="91" xfId="0" applyFont="1" applyBorder="1" applyAlignment="1">
      <alignment horizontal="center" vertical="center" wrapText="1" readingOrder="1"/>
    </xf>
    <xf numFmtId="165" fontId="2" fillId="0" borderId="0" xfId="0" applyNumberFormat="1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0" fillId="0" borderId="92" xfId="0" applyBorder="1" applyAlignment="1"/>
    <xf numFmtId="0" fontId="2" fillId="2" borderId="2" xfId="0" applyFont="1" applyFill="1" applyBorder="1" applyAlignment="1">
      <alignment horizontal="center" vertical="center" wrapText="1"/>
    </xf>
    <xf numFmtId="0" fontId="0" fillId="0" borderId="95" xfId="0" applyBorder="1" applyAlignment="1"/>
    <xf numFmtId="0" fontId="0" fillId="0" borderId="96" xfId="0" applyBorder="1" applyAlignment="1"/>
    <xf numFmtId="0" fontId="2" fillId="2" borderId="8" xfId="0" applyFont="1" applyFill="1" applyBorder="1" applyAlignment="1">
      <alignment horizontal="center" vertical="center" wrapText="1"/>
    </xf>
    <xf numFmtId="0" fontId="0" fillId="0" borderId="93" xfId="0" applyBorder="1" applyAlignment="1"/>
    <xf numFmtId="0" fontId="2" fillId="2" borderId="10" xfId="0" applyFont="1" applyFill="1" applyBorder="1" applyAlignment="1">
      <alignment horizontal="center" vertical="center" wrapText="1"/>
    </xf>
    <xf numFmtId="0" fontId="0" fillId="0" borderId="40" xfId="0" applyBorder="1" applyAlignment="1"/>
    <xf numFmtId="0" fontId="2" fillId="2" borderId="1" xfId="0" applyFont="1" applyFill="1" applyBorder="1" applyAlignment="1">
      <alignment horizontal="center" vertical="center" wrapText="1"/>
    </xf>
    <xf numFmtId="0" fontId="0" fillId="0" borderId="50" xfId="0" applyBorder="1" applyAlignment="1"/>
    <xf numFmtId="0" fontId="0" fillId="0" borderId="94" xfId="0" applyBorder="1" applyAlignment="1"/>
    <xf numFmtId="0" fontId="2" fillId="2" borderId="24" xfId="0" applyFont="1" applyFill="1" applyBorder="1" applyAlignment="1">
      <alignment horizontal="center" vertical="center" wrapText="1"/>
    </xf>
    <xf numFmtId="0" fontId="0" fillId="0" borderId="97" xfId="0" applyBorder="1" applyAlignment="1"/>
    <xf numFmtId="0" fontId="2" fillId="2" borderId="26" xfId="0" applyFont="1" applyFill="1" applyBorder="1" applyAlignment="1">
      <alignment horizontal="center" vertical="center" wrapText="1"/>
    </xf>
    <xf numFmtId="0" fontId="0" fillId="0" borderId="98" xfId="0" applyBorder="1" applyAlignment="1"/>
    <xf numFmtId="0" fontId="2" fillId="2" borderId="28" xfId="0" applyFont="1" applyFill="1" applyBorder="1" applyAlignment="1">
      <alignment horizontal="center" vertical="center" wrapText="1"/>
    </xf>
    <xf numFmtId="0" fontId="0" fillId="0" borderId="99" xfId="0" applyBorder="1" applyAlignment="1"/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85" xfId="0" applyFont="1" applyBorder="1" applyAlignment="1">
      <alignment horizontal="center" vertical="center" wrapText="1"/>
    </xf>
    <xf numFmtId="0" fontId="0" fillId="0" borderId="86" xfId="0" applyBorder="1" applyAlignment="1"/>
    <xf numFmtId="0" fontId="2" fillId="2" borderId="3" xfId="0" applyFont="1" applyFill="1" applyBorder="1" applyAlignment="1">
      <alignment horizontal="center" vertical="top"/>
    </xf>
    <xf numFmtId="0" fontId="0" fillId="0" borderId="101" xfId="0" applyBorder="1" applyAlignment="1"/>
    <xf numFmtId="0" fontId="2" fillId="2" borderId="2" xfId="0" applyFont="1" applyFill="1" applyBorder="1" applyAlignment="1">
      <alignment horizontal="center" vertical="top"/>
    </xf>
    <xf numFmtId="0" fontId="0" fillId="0" borderId="102" xfId="0" applyBorder="1" applyAlignment="1"/>
    <xf numFmtId="166" fontId="2" fillId="2" borderId="3" xfId="0" applyNumberFormat="1" applyFont="1" applyFill="1" applyBorder="1" applyAlignment="1">
      <alignment horizontal="center" vertical="top"/>
    </xf>
    <xf numFmtId="0" fontId="2" fillId="0" borderId="100" xfId="0" applyFont="1" applyBorder="1" applyAlignment="1">
      <alignment horizontal="center" vertical="center" wrapText="1"/>
    </xf>
    <xf numFmtId="0" fontId="0" fillId="0" borderId="88" xfId="0" applyBorder="1" applyAlignment="1"/>
    <xf numFmtId="0" fontId="2" fillId="0" borderId="10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55" xfId="0" applyBorder="1" applyAlignment="1"/>
    <xf numFmtId="0" fontId="3" fillId="6" borderId="1" xfId="0" applyFont="1" applyFill="1" applyBorder="1" applyAlignment="1">
      <alignment horizontal="center" vertical="center"/>
    </xf>
    <xf numFmtId="0" fontId="0" fillId="0" borderId="48" xfId="0" applyBorder="1" applyAlignment="1"/>
    <xf numFmtId="0" fontId="5" fillId="0" borderId="23" xfId="0" applyFont="1" applyBorder="1" applyAlignment="1">
      <alignment horizontal="center" vertical="center"/>
    </xf>
    <xf numFmtId="0" fontId="0" fillId="0" borderId="77" xfId="0" applyBorder="1" applyAlignment="1"/>
    <xf numFmtId="0" fontId="3" fillId="0" borderId="51" xfId="0" applyFont="1" applyBorder="1" applyAlignment="1">
      <alignment horizontal="center" vertical="center"/>
    </xf>
    <xf numFmtId="0" fontId="0" fillId="0" borderId="68" xfId="0" applyBorder="1" applyAlignment="1"/>
    <xf numFmtId="166" fontId="3" fillId="6" borderId="1" xfId="0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60" xfId="0" applyBorder="1" applyAlignment="1"/>
    <xf numFmtId="0" fontId="3" fillId="0" borderId="68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0" fillId="0" borderId="67" xfId="0" applyBorder="1" applyAlignment="1"/>
    <xf numFmtId="0" fontId="10" fillId="0" borderId="87" xfId="0" applyFont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2.1759555496688909E-2"/>
          <c:y val="0.13962372276824631"/>
          <c:w val="0.95824408234827885"/>
          <c:h val="0.711893245772799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'[1]자동화실적(26년) (1~4월)'!$C$17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'[1]자동화실적(26년) (1~4월)'!$D$16:$DF$16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cat>
          <c:val>
            <c:numRef>
              <c:f>'[1]자동화실적(26년) (1~4월)'!$D$17:$DF$17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0-4A78-AE48-BD69A3991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0561936"/>
        <c:axId val="1930547248"/>
      </c:barChart>
      <c:lineChart>
        <c:grouping val="standard"/>
        <c:varyColors val="0"/>
        <c:ser>
          <c:idx val="1"/>
          <c:order val="1"/>
          <c:tx>
            <c:strRef>
              <c:f>'[1]자동화실적(26년) (1~4월)'!$C$21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'[1]자동화실적(26년) (1~4월)'!$D$16:$DF$16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cat>
          <c:val>
            <c:numRef>
              <c:f>'[1]자동화실적(26년) (1~4월)'!$D$21:$DF$21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0-4A78-AE48-BD69A3991A31}"/>
            </c:ext>
          </c:extLst>
        </c:ser>
        <c:ser>
          <c:idx val="2"/>
          <c:order val="2"/>
          <c:tx>
            <c:strRef>
              <c:f>'[1]자동화실적(26년) (1~4월)'!$C$22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cat>
            <c:numRef>
              <c:f>'[1]자동화실적(26년) (1~4월)'!$D$16:$DF$16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cat>
          <c:val>
            <c:numRef>
              <c:f>'[1]자동화실적(26년) (1~4월)'!$D$22:$DF$22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80-4A78-AE48-BD69A3991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39088"/>
        <c:axId val="1930560304"/>
      </c:lineChart>
      <c:catAx>
        <c:axId val="193056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47248"/>
        <c:crosses val="autoZero"/>
        <c:auto val="0"/>
        <c:lblAlgn val="ctr"/>
        <c:lblOffset val="100"/>
        <c:noMultiLvlLbl val="1"/>
      </c:catAx>
      <c:valAx>
        <c:axId val="19305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61936"/>
        <c:crosses val="autoZero"/>
        <c:crossBetween val="between"/>
      </c:valAx>
      <c:catAx>
        <c:axId val="1930539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0560304"/>
        <c:crosses val="autoZero"/>
        <c:auto val="0"/>
        <c:lblAlgn val="ctr"/>
        <c:lblOffset val="100"/>
        <c:noMultiLvlLbl val="1"/>
      </c:catAx>
      <c:valAx>
        <c:axId val="19305603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39088"/>
        <c:crosses val="max"/>
        <c:crossBetween val="between"/>
      </c:valAx>
    </c:plotArea>
    <c:legend>
      <c:legendPos val="t"/>
      <c:layout>
        <c:manualLayout>
          <c:xMode val="edge"/>
          <c:yMode val="edge"/>
          <c:x val="0.25441852326598707"/>
          <c:y val="1.763692106575146E-2"/>
          <c:w val="0.49116279069767438"/>
          <c:h val="9.9208375361823073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4238028858192178E-2"/>
          <c:y val="0.2028491837664895"/>
          <c:w val="0.87875211693486965"/>
          <c:h val="0.6486677847745566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'[1]자동화실적(26년) (1~4월)'!$C$17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'[1]자동화실적(26년) (1~4월)'!$DH$16:$DZ$16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cat>
          <c:val>
            <c:numRef>
              <c:f>'[1]자동화실적(26년) (1~4월)'!$DH$17:$DZ$17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C-49A8-B61A-E5A4CB7B4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0549968"/>
        <c:axId val="1930538000"/>
      </c:barChart>
      <c:lineChart>
        <c:grouping val="standard"/>
        <c:varyColors val="0"/>
        <c:ser>
          <c:idx val="1"/>
          <c:order val="1"/>
          <c:tx>
            <c:strRef>
              <c:f>'[1]자동화실적(26년) (1~4월)'!$C$21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(1~4월)'!$DH$16:$DZ$16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cat>
          <c:val>
            <c:numRef>
              <c:f>'[1]자동화실적(26년) (1~4월)'!$DH$21:$DZ$21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AC-49A8-B61A-E5A4CB7B4956}"/>
            </c:ext>
          </c:extLst>
        </c:ser>
        <c:ser>
          <c:idx val="2"/>
          <c:order val="2"/>
          <c:tx>
            <c:strRef>
              <c:f>'[1]자동화실적(26년) (1~4월)'!$C$22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(1~4월)'!$DH$16:$DZ$16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cat>
          <c:val>
            <c:numRef>
              <c:f>'[1]자동화실적(26년) (1~4월)'!$DH$22:$DZ$22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AC-49A8-B61A-E5A4CB7B4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63024"/>
        <c:axId val="1930557040"/>
      </c:lineChart>
      <c:catAx>
        <c:axId val="193054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38000"/>
        <c:crosses val="autoZero"/>
        <c:auto val="0"/>
        <c:lblAlgn val="ctr"/>
        <c:lblOffset val="100"/>
        <c:noMultiLvlLbl val="1"/>
      </c:catAx>
      <c:valAx>
        <c:axId val="193053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49968"/>
        <c:crosses val="autoZero"/>
        <c:crossBetween val="between"/>
      </c:valAx>
      <c:catAx>
        <c:axId val="1930563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0557040"/>
        <c:crosses val="autoZero"/>
        <c:auto val="1"/>
        <c:lblAlgn val="ctr"/>
        <c:lblOffset val="100"/>
        <c:noMultiLvlLbl val="1"/>
      </c:catAx>
      <c:valAx>
        <c:axId val="19305570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63024"/>
        <c:crosses val="max"/>
        <c:crossBetween val="between"/>
      </c:valAx>
    </c:plotArea>
    <c:legend>
      <c:legendPos val="t"/>
      <c:layout>
        <c:manualLayout>
          <c:xMode val="edge"/>
          <c:yMode val="edge"/>
          <c:x val="0"/>
          <c:y val="4.2150307332162122E-2"/>
          <c:w val="0.99860486119774594"/>
          <c:h val="8.605853693074955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4238028858192178E-2"/>
          <c:y val="0.18177403010040849"/>
          <c:w val="0.87875211693486965"/>
          <c:h val="0.669742938440637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'[2]자동화실적(26년)'!$C$17</c:f>
              <c:strCache>
                <c:ptCount val="1"/>
                <c:pt idx="0">
                  <c:v>투입수량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'[2]자동화실적(26년)'!$EB$16:$EO$16</c:f>
              <c:strCache>
                <c:ptCount val="14"/>
                <c:pt idx="0">
                  <c:v>1-1W</c:v>
                </c:pt>
                <c:pt idx="1">
                  <c:v>1-2W</c:v>
                </c:pt>
                <c:pt idx="2">
                  <c:v>1-3W</c:v>
                </c:pt>
                <c:pt idx="3">
                  <c:v>1-4W</c:v>
                </c:pt>
                <c:pt idx="4">
                  <c:v>1-5W</c:v>
                </c:pt>
                <c:pt idx="5">
                  <c:v>2-1W</c:v>
                </c:pt>
                <c:pt idx="6">
                  <c:v>2-2W</c:v>
                </c:pt>
                <c:pt idx="7">
                  <c:v>2-3W</c:v>
                </c:pt>
                <c:pt idx="8">
                  <c:v>2-4W</c:v>
                </c:pt>
                <c:pt idx="9">
                  <c:v>3-1W</c:v>
                </c:pt>
                <c:pt idx="10">
                  <c:v>3-2W</c:v>
                </c:pt>
                <c:pt idx="11">
                  <c:v>3-3W</c:v>
                </c:pt>
                <c:pt idx="12">
                  <c:v>3-4W</c:v>
                </c:pt>
                <c:pt idx="13">
                  <c:v>3-5W</c:v>
                </c:pt>
              </c:strCache>
            </c:strRef>
          </c:cat>
          <c:val>
            <c:numRef>
              <c:f>'[2]자동화실적(26년)'!$EB$17:$EO$17</c:f>
              <c:numCache>
                <c:formatCode>General</c:formatCode>
                <c:ptCount val="14"/>
                <c:pt idx="0">
                  <c:v>1273</c:v>
                </c:pt>
                <c:pt idx="1">
                  <c:v>1154.5999999999999</c:v>
                </c:pt>
                <c:pt idx="2">
                  <c:v>1142.4000000000001</c:v>
                </c:pt>
                <c:pt idx="3">
                  <c:v>1021</c:v>
                </c:pt>
                <c:pt idx="4">
                  <c:v>1276</c:v>
                </c:pt>
                <c:pt idx="5">
                  <c:v>1300.8</c:v>
                </c:pt>
                <c:pt idx="6">
                  <c:v>1208.5</c:v>
                </c:pt>
                <c:pt idx="7">
                  <c:v>1335.5</c:v>
                </c:pt>
                <c:pt idx="8">
                  <c:v>1125</c:v>
                </c:pt>
                <c:pt idx="9">
                  <c:v>1288.75</c:v>
                </c:pt>
                <c:pt idx="10">
                  <c:v>1343.3</c:v>
                </c:pt>
                <c:pt idx="11">
                  <c:v>1226.2</c:v>
                </c:pt>
                <c:pt idx="12">
                  <c:v>1191</c:v>
                </c:pt>
                <c:pt idx="13">
                  <c:v>908.5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C-4A63-8A3D-38168CAC4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0551600"/>
        <c:axId val="1930533104"/>
      </c:barChart>
      <c:lineChart>
        <c:grouping val="standard"/>
        <c:varyColors val="0"/>
        <c:ser>
          <c:idx val="1"/>
          <c:order val="1"/>
          <c:tx>
            <c:strRef>
              <c:f>'[2]자동화실적(26년)'!$C$21</c:f>
              <c:strCache>
                <c:ptCount val="1"/>
                <c:pt idx="0">
                  <c:v>공정불량율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'[2]자동화실적(26년)'!$EB$16:$EO$16</c:f>
              <c:strCache>
                <c:ptCount val="14"/>
                <c:pt idx="0">
                  <c:v>1-1W</c:v>
                </c:pt>
                <c:pt idx="1">
                  <c:v>1-2W</c:v>
                </c:pt>
                <c:pt idx="2">
                  <c:v>1-3W</c:v>
                </c:pt>
                <c:pt idx="3">
                  <c:v>1-4W</c:v>
                </c:pt>
                <c:pt idx="4">
                  <c:v>1-5W</c:v>
                </c:pt>
                <c:pt idx="5">
                  <c:v>2-1W</c:v>
                </c:pt>
                <c:pt idx="6">
                  <c:v>2-2W</c:v>
                </c:pt>
                <c:pt idx="7">
                  <c:v>2-3W</c:v>
                </c:pt>
                <c:pt idx="8">
                  <c:v>2-4W</c:v>
                </c:pt>
                <c:pt idx="9">
                  <c:v>3-1W</c:v>
                </c:pt>
                <c:pt idx="10">
                  <c:v>3-2W</c:v>
                </c:pt>
                <c:pt idx="11">
                  <c:v>3-3W</c:v>
                </c:pt>
                <c:pt idx="12">
                  <c:v>3-4W</c:v>
                </c:pt>
                <c:pt idx="13">
                  <c:v>3-5W</c:v>
                </c:pt>
              </c:strCache>
            </c:strRef>
          </c:cat>
          <c:val>
            <c:numRef>
              <c:f>'[2]자동화실적(26년)'!$EB$21:$EO$21</c:f>
              <c:numCache>
                <c:formatCode>General</c:formatCode>
                <c:ptCount val="14"/>
                <c:pt idx="0">
                  <c:v>5.8130400628436767E-2</c:v>
                </c:pt>
                <c:pt idx="1">
                  <c:v>5.9760956175298807E-2</c:v>
                </c:pt>
                <c:pt idx="2">
                  <c:v>4.6393557422969182E-2</c:v>
                </c:pt>
                <c:pt idx="3">
                  <c:v>7.8550440744368275E-2</c:v>
                </c:pt>
                <c:pt idx="4">
                  <c:v>3.072100313479624E-2</c:v>
                </c:pt>
                <c:pt idx="5">
                  <c:v>2.1986469864698648E-2</c:v>
                </c:pt>
                <c:pt idx="6">
                  <c:v>3.061646669424907E-2</c:v>
                </c:pt>
                <c:pt idx="7">
                  <c:v>2.6706601772120309E-2</c:v>
                </c:pt>
                <c:pt idx="8">
                  <c:v>2.5777777777777778E-2</c:v>
                </c:pt>
                <c:pt idx="9">
                  <c:v>4.3452958292919494E-2</c:v>
                </c:pt>
                <c:pt idx="10">
                  <c:v>2.2630834512022632E-2</c:v>
                </c:pt>
                <c:pt idx="11">
                  <c:v>1.7941608220518674E-2</c:v>
                </c:pt>
                <c:pt idx="12">
                  <c:v>6.2300587741393777E-2</c:v>
                </c:pt>
                <c:pt idx="13">
                  <c:v>7.5399009356081459E-2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0C-4A63-8A3D-38168CAC4ABC}"/>
            </c:ext>
          </c:extLst>
        </c:ser>
        <c:ser>
          <c:idx val="2"/>
          <c:order val="2"/>
          <c:tx>
            <c:strRef>
              <c:f>'[2]자동화실적(26년)'!$C$22</c:f>
              <c:strCache>
                <c:ptCount val="1"/>
                <c:pt idx="0">
                  <c:v>최종불량율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'[2]자동화실적(26년)'!$EB$16:$EO$16</c:f>
              <c:strCache>
                <c:ptCount val="14"/>
                <c:pt idx="0">
                  <c:v>1-1W</c:v>
                </c:pt>
                <c:pt idx="1">
                  <c:v>1-2W</c:v>
                </c:pt>
                <c:pt idx="2">
                  <c:v>1-3W</c:v>
                </c:pt>
                <c:pt idx="3">
                  <c:v>1-4W</c:v>
                </c:pt>
                <c:pt idx="4">
                  <c:v>1-5W</c:v>
                </c:pt>
                <c:pt idx="5">
                  <c:v>2-1W</c:v>
                </c:pt>
                <c:pt idx="6">
                  <c:v>2-2W</c:v>
                </c:pt>
                <c:pt idx="7">
                  <c:v>2-3W</c:v>
                </c:pt>
                <c:pt idx="8">
                  <c:v>2-4W</c:v>
                </c:pt>
                <c:pt idx="9">
                  <c:v>3-1W</c:v>
                </c:pt>
                <c:pt idx="10">
                  <c:v>3-2W</c:v>
                </c:pt>
                <c:pt idx="11">
                  <c:v>3-3W</c:v>
                </c:pt>
                <c:pt idx="12">
                  <c:v>3-4W</c:v>
                </c:pt>
                <c:pt idx="13">
                  <c:v>3-5W</c:v>
                </c:pt>
              </c:strCache>
            </c:strRef>
          </c:cat>
          <c:val>
            <c:numRef>
              <c:f>'[2]자동화실적(26년)'!$EB$22:$EO$22</c:f>
              <c:numCache>
                <c:formatCode>General</c:formatCode>
                <c:ptCount val="14"/>
                <c:pt idx="0">
                  <c:v>3.3778476040848389E-2</c:v>
                </c:pt>
                <c:pt idx="1">
                  <c:v>2.8234886540793352E-2</c:v>
                </c:pt>
                <c:pt idx="2">
                  <c:v>2.3109243697478989E-2</c:v>
                </c:pt>
                <c:pt idx="3">
                  <c:v>1.5670910871694418E-2</c:v>
                </c:pt>
                <c:pt idx="4">
                  <c:v>1.2539184952978056E-2</c:v>
                </c:pt>
                <c:pt idx="5">
                  <c:v>1.0608856088560886E-2</c:v>
                </c:pt>
                <c:pt idx="6">
                  <c:v>1.5308233347124535E-2</c:v>
                </c:pt>
                <c:pt idx="7">
                  <c:v>9.7341819543242235E-3</c:v>
                </c:pt>
                <c:pt idx="8">
                  <c:v>8.8888888888888889E-3</c:v>
                </c:pt>
                <c:pt idx="9">
                  <c:v>2.2308438409311349E-2</c:v>
                </c:pt>
                <c:pt idx="10">
                  <c:v>4.6899426784783741E-3</c:v>
                </c:pt>
                <c:pt idx="11">
                  <c:v>9.1339096395367785E-3</c:v>
                </c:pt>
                <c:pt idx="12">
                  <c:v>4.2317380352644839E-2</c:v>
                </c:pt>
                <c:pt idx="13">
                  <c:v>5.5035773252614197E-2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0C-4A63-8A3D-38168CAC4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60848"/>
        <c:axId val="1930539632"/>
      </c:lineChart>
      <c:catAx>
        <c:axId val="193055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33104"/>
        <c:crosses val="autoZero"/>
        <c:auto val="0"/>
        <c:lblAlgn val="ctr"/>
        <c:lblOffset val="100"/>
        <c:noMultiLvlLbl val="1"/>
      </c:catAx>
      <c:valAx>
        <c:axId val="193053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51600"/>
        <c:crosses val="autoZero"/>
        <c:crossBetween val="between"/>
      </c:valAx>
      <c:catAx>
        <c:axId val="1930560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0539632"/>
        <c:crosses val="autoZero"/>
        <c:auto val="1"/>
        <c:lblAlgn val="ctr"/>
        <c:lblOffset val="100"/>
        <c:noMultiLvlLbl val="1"/>
      </c:catAx>
      <c:valAx>
        <c:axId val="19305396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60848"/>
        <c:crosses val="max"/>
        <c:crossBetween val="between"/>
      </c:valAx>
    </c:plotArea>
    <c:legend>
      <c:legendPos val="t"/>
      <c:layout>
        <c:manualLayout>
          <c:xMode val="edge"/>
          <c:yMode val="edge"/>
          <c:x val="1.400559606272919E-3"/>
          <c:y val="4.2150307332162122E-2"/>
          <c:w val="0.99859944039372706"/>
          <c:h val="0.101293494470676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4238028858192178E-2"/>
          <c:y val="0.14743871122574179"/>
          <c:w val="0.87875211693486965"/>
          <c:h val="0.70407831204429305"/>
        </c:manualLayout>
      </c:layout>
      <c:lineChart>
        <c:grouping val="standard"/>
        <c:varyColors val="0"/>
        <c:ser>
          <c:idx val="0"/>
          <c:order val="0"/>
          <c:tx>
            <c:strRef>
              <c:f>'[1]자동화실적(26년) (1~4월)'!$B$54:$C$54</c:f>
              <c:strCache>
                <c:ptCount val="1"/>
                <c:pt idx="0">
                  <c:v>#REF! #REF!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Lbls>
            <c:dLbl>
              <c:idx val="1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FD-4AD4-B660-870E6088B83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(1~4월)'!$DH$51:$DZ$51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cat>
          <c:val>
            <c:numRef>
              <c:f>'[1]자동화실적(26년) (1~4월)'!$DH$54:$DZ$54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FD-4AD4-B660-870E6088B835}"/>
            </c:ext>
          </c:extLst>
        </c:ser>
        <c:ser>
          <c:idx val="1"/>
          <c:order val="1"/>
          <c:tx>
            <c:strRef>
              <c:f>'[1]자동화실적(26년) (1~4월)'!$B$58:$C$58</c:f>
              <c:strCache>
                <c:ptCount val="1"/>
                <c:pt idx="0">
                  <c:v>#REF! 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FD-4AD4-B660-870E6088B83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(1~4월)'!$DH$51:$DZ$51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cat>
          <c:val>
            <c:numRef>
              <c:f>'[1]자동화실적(26년) (1~4월)'!$DH$58:$DZ$58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FD-4AD4-B660-870E6088B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40720"/>
        <c:axId val="1930540176"/>
      </c:lineChart>
      <c:catAx>
        <c:axId val="193054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40176"/>
        <c:crosses val="autoZero"/>
        <c:auto val="0"/>
        <c:lblAlgn val="ctr"/>
        <c:lblOffset val="100"/>
        <c:noMultiLvlLbl val="1"/>
      </c:catAx>
      <c:valAx>
        <c:axId val="193054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4072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"/>
          <c:y val="0"/>
          <c:w val="1"/>
          <c:h val="0.1204524850765017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2.2021450364389739E-2"/>
          <c:y val="0.14743871122574179"/>
          <c:w val="0.97298415870605004"/>
          <c:h val="0.70407831204429305"/>
        </c:manualLayout>
      </c:layout>
      <c:lineChart>
        <c:grouping val="standard"/>
        <c:varyColors val="0"/>
        <c:ser>
          <c:idx val="0"/>
          <c:order val="0"/>
          <c:tx>
            <c:strRef>
              <c:f>'[1]자동화실적(26년) (1~4월)'!$B$54:$C$54</c:f>
              <c:strCache>
                <c:ptCount val="1"/>
                <c:pt idx="0">
                  <c:v>#REF! #REF!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(1~4월)'!$D$51:$DF$51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cat>
          <c:val>
            <c:numRef>
              <c:f>'[1]자동화실적(26년) (1~4월)'!$D$54:$DF$54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0-48C0-BCA9-25A539C22127}"/>
            </c:ext>
          </c:extLst>
        </c:ser>
        <c:ser>
          <c:idx val="1"/>
          <c:order val="1"/>
          <c:tx>
            <c:strRef>
              <c:f>'[1]자동화실적(26년) (1~4월)'!$B$58:$C$58</c:f>
              <c:strCache>
                <c:ptCount val="1"/>
                <c:pt idx="0">
                  <c:v>#REF! 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(1~4월)'!$D$51:$DF$51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cat>
          <c:val>
            <c:numRef>
              <c:f>'[1]자동화실적(26년) (1~4월)'!$D$58:$DF$58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0-48C0-BCA9-25A539C22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42896"/>
        <c:axId val="1930553232"/>
      </c:lineChart>
      <c:catAx>
        <c:axId val="193054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53232"/>
        <c:crosses val="autoZero"/>
        <c:auto val="0"/>
        <c:lblAlgn val="ctr"/>
        <c:lblOffset val="100"/>
        <c:noMultiLvlLbl val="1"/>
      </c:catAx>
      <c:valAx>
        <c:axId val="19305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42896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"/>
          <c:y val="0"/>
          <c:w val="0.99766412007728045"/>
          <c:h val="0.1161017077700177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4238028858192178E-2"/>
          <c:y val="0.14743871122574179"/>
          <c:w val="0.87875211693486965"/>
          <c:h val="0.70407831204429305"/>
        </c:manualLayout>
      </c:layout>
      <c:lineChart>
        <c:grouping val="standard"/>
        <c:varyColors val="0"/>
        <c:ser>
          <c:idx val="0"/>
          <c:order val="0"/>
          <c:tx>
            <c:strRef>
              <c:f>'[2]자동화실적(26년)'!$B$54:$C$54</c:f>
              <c:strCache>
                <c:ptCount val="1"/>
                <c:pt idx="0">
                  <c:v>정지횟수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'[2]자동화실적(26년)'!$EB$51:$EO$51</c:f>
              <c:strCache>
                <c:ptCount val="14"/>
                <c:pt idx="0">
                  <c:v>1-1W</c:v>
                </c:pt>
                <c:pt idx="1">
                  <c:v>1-2W</c:v>
                </c:pt>
                <c:pt idx="2">
                  <c:v>1-3W</c:v>
                </c:pt>
                <c:pt idx="3">
                  <c:v>1-4W</c:v>
                </c:pt>
                <c:pt idx="4">
                  <c:v>1-5W</c:v>
                </c:pt>
                <c:pt idx="5">
                  <c:v>2-1W</c:v>
                </c:pt>
                <c:pt idx="6">
                  <c:v>2-2W</c:v>
                </c:pt>
                <c:pt idx="7">
                  <c:v>2-3W</c:v>
                </c:pt>
                <c:pt idx="8">
                  <c:v>2-4W</c:v>
                </c:pt>
                <c:pt idx="9">
                  <c:v>3-1W</c:v>
                </c:pt>
                <c:pt idx="10">
                  <c:v>3-2W</c:v>
                </c:pt>
                <c:pt idx="11">
                  <c:v>3-3W</c:v>
                </c:pt>
                <c:pt idx="12">
                  <c:v>3-4W</c:v>
                </c:pt>
                <c:pt idx="13">
                  <c:v>3-5W</c:v>
                </c:pt>
              </c:strCache>
            </c:strRef>
          </c:cat>
          <c:val>
            <c:numRef>
              <c:f>'[2]자동화실적(26년)'!$EB$54:$EO$54</c:f>
              <c:numCache>
                <c:formatCode>General</c:formatCode>
                <c:ptCount val="14"/>
                <c:pt idx="0">
                  <c:v>188</c:v>
                </c:pt>
                <c:pt idx="1">
                  <c:v>137.80000000000001</c:v>
                </c:pt>
                <c:pt idx="2">
                  <c:v>133</c:v>
                </c:pt>
                <c:pt idx="3">
                  <c:v>103</c:v>
                </c:pt>
                <c:pt idx="4">
                  <c:v>86.8</c:v>
                </c:pt>
                <c:pt idx="5">
                  <c:v>80.800000000000011</c:v>
                </c:pt>
                <c:pt idx="6">
                  <c:v>87.833333333333329</c:v>
                </c:pt>
                <c:pt idx="7">
                  <c:v>90.666666666666657</c:v>
                </c:pt>
                <c:pt idx="8">
                  <c:v>113.33333333333334</c:v>
                </c:pt>
                <c:pt idx="9">
                  <c:v>93</c:v>
                </c:pt>
                <c:pt idx="10">
                  <c:v>87.233333333333334</c:v>
                </c:pt>
                <c:pt idx="11">
                  <c:v>95.800000000000011</c:v>
                </c:pt>
                <c:pt idx="12">
                  <c:v>113.2</c:v>
                </c:pt>
                <c:pt idx="13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6-481E-878A-E7E3EBC0ECD0}"/>
            </c:ext>
          </c:extLst>
        </c:ser>
        <c:ser>
          <c:idx val="1"/>
          <c:order val="1"/>
          <c:tx>
            <c:strRef>
              <c:f>'[2]자동화실적(26년)'!$B$58:$C$58</c:f>
              <c:strCache>
                <c:ptCount val="1"/>
                <c:pt idx="0">
                  <c:v>유실시간(분)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'[2]자동화실적(26년)'!$EB$51:$EO$51</c:f>
              <c:strCache>
                <c:ptCount val="14"/>
                <c:pt idx="0">
                  <c:v>1-1W</c:v>
                </c:pt>
                <c:pt idx="1">
                  <c:v>1-2W</c:v>
                </c:pt>
                <c:pt idx="2">
                  <c:v>1-3W</c:v>
                </c:pt>
                <c:pt idx="3">
                  <c:v>1-4W</c:v>
                </c:pt>
                <c:pt idx="4">
                  <c:v>1-5W</c:v>
                </c:pt>
                <c:pt idx="5">
                  <c:v>2-1W</c:v>
                </c:pt>
                <c:pt idx="6">
                  <c:v>2-2W</c:v>
                </c:pt>
                <c:pt idx="7">
                  <c:v>2-3W</c:v>
                </c:pt>
                <c:pt idx="8">
                  <c:v>2-4W</c:v>
                </c:pt>
                <c:pt idx="9">
                  <c:v>3-1W</c:v>
                </c:pt>
                <c:pt idx="10">
                  <c:v>3-2W</c:v>
                </c:pt>
                <c:pt idx="11">
                  <c:v>3-3W</c:v>
                </c:pt>
                <c:pt idx="12">
                  <c:v>3-4W</c:v>
                </c:pt>
                <c:pt idx="13">
                  <c:v>3-5W</c:v>
                </c:pt>
              </c:strCache>
            </c:strRef>
          </c:cat>
          <c:val>
            <c:numRef>
              <c:f>'[2]자동화실적(26년)'!$EB$58:$EO$58</c:f>
              <c:numCache>
                <c:formatCode>General</c:formatCode>
                <c:ptCount val="14"/>
                <c:pt idx="0">
                  <c:v>100</c:v>
                </c:pt>
                <c:pt idx="1">
                  <c:v>172</c:v>
                </c:pt>
                <c:pt idx="2">
                  <c:v>126</c:v>
                </c:pt>
                <c:pt idx="3">
                  <c:v>80</c:v>
                </c:pt>
                <c:pt idx="4">
                  <c:v>74</c:v>
                </c:pt>
                <c:pt idx="5">
                  <c:v>150</c:v>
                </c:pt>
                <c:pt idx="6">
                  <c:v>48.333333333333329</c:v>
                </c:pt>
                <c:pt idx="7">
                  <c:v>46.666666666666671</c:v>
                </c:pt>
                <c:pt idx="8">
                  <c:v>68.333333333333329</c:v>
                </c:pt>
                <c:pt idx="9">
                  <c:v>137.5</c:v>
                </c:pt>
                <c:pt idx="10">
                  <c:v>74.833333333333329</c:v>
                </c:pt>
                <c:pt idx="11">
                  <c:v>55</c:v>
                </c:pt>
                <c:pt idx="12">
                  <c:v>87.1</c:v>
                </c:pt>
                <c:pt idx="13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16-481E-878A-E7E3EBC0E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36368"/>
        <c:axId val="1930533648"/>
      </c:lineChart>
      <c:catAx>
        <c:axId val="193053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33648"/>
        <c:crosses val="autoZero"/>
        <c:auto val="0"/>
        <c:lblAlgn val="ctr"/>
        <c:lblOffset val="100"/>
        <c:noMultiLvlLbl val="1"/>
      </c:catAx>
      <c:valAx>
        <c:axId val="193053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363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7.4985300675616429E-4"/>
          <c:y val="0"/>
          <c:w val="0.99925014699324377"/>
          <c:h val="0.1204524850765017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4238028858192178E-2"/>
          <c:y val="0.2028491837664895"/>
          <c:w val="0.87875211693486965"/>
          <c:h val="0.6486677847745566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'[1]자동화실적(26년) (1~4월)'!$C$17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'[1]자동화실적(26년) (1~4월)'!$EV$16:$EY$16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'[1]자동화실적(26년) (1~4월)'!$EV$17:$EY$17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7-4B67-AA81-AECCB3997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0530928"/>
        <c:axId val="1930552144"/>
      </c:barChart>
      <c:lineChart>
        <c:grouping val="standard"/>
        <c:varyColors val="0"/>
        <c:ser>
          <c:idx val="1"/>
          <c:order val="1"/>
          <c:tx>
            <c:strRef>
              <c:f>'[1]자동화실적(26년) (1~4월)'!$C$21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(1~4월)'!$EV$16:$EY$16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'[1]자동화실적(26년) (1~4월)'!$EV$21:$EY$21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7-4B67-AA81-AECCB39973B8}"/>
            </c:ext>
          </c:extLst>
        </c:ser>
        <c:ser>
          <c:idx val="2"/>
          <c:order val="2"/>
          <c:tx>
            <c:strRef>
              <c:f>'[1]자동화실적(26년) (1~4월)'!$C$22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(1~4월)'!$EV$16:$EY$16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'[1]자동화실적(26년) (1~4월)'!$EV$22:$EY$22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A7-4B67-AA81-AECCB3997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34192"/>
        <c:axId val="1930552688"/>
      </c:lineChart>
      <c:catAx>
        <c:axId val="193053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52144"/>
        <c:crosses val="autoZero"/>
        <c:auto val="0"/>
        <c:lblAlgn val="ctr"/>
        <c:lblOffset val="100"/>
        <c:noMultiLvlLbl val="1"/>
      </c:catAx>
      <c:valAx>
        <c:axId val="19305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30928"/>
        <c:crosses val="autoZero"/>
        <c:crossBetween val="between"/>
      </c:valAx>
      <c:catAx>
        <c:axId val="1930534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0552688"/>
        <c:crosses val="autoZero"/>
        <c:auto val="1"/>
        <c:lblAlgn val="ctr"/>
        <c:lblOffset val="100"/>
        <c:noMultiLvlLbl val="1"/>
      </c:catAx>
      <c:valAx>
        <c:axId val="1930552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34192"/>
        <c:crosses val="max"/>
        <c:crossBetween val="between"/>
      </c:valAx>
    </c:plotArea>
    <c:legend>
      <c:legendPos val="t"/>
      <c:layout>
        <c:manualLayout>
          <c:xMode val="edge"/>
          <c:yMode val="edge"/>
          <c:x val="0"/>
          <c:y val="4.2150307332162122E-2"/>
          <c:w val="0.99860486119774594"/>
          <c:h val="8.605853693074955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4238028858192178E-2"/>
          <c:y val="0.18177403010040849"/>
          <c:w val="0.87875211693486965"/>
          <c:h val="0.669742938440637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'[1]자동화실적(26년) (1~4월)'!$C$17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'[1]자동화실적(26년) (1~4월)'!$FA$16:$FD$16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'[1]자동화실적(26년) (1~4월)'!$FA$17:$FD$17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C-49EE-93AD-12B323FD0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0541264"/>
        <c:axId val="1930557584"/>
      </c:barChart>
      <c:lineChart>
        <c:grouping val="standard"/>
        <c:varyColors val="0"/>
        <c:ser>
          <c:idx val="1"/>
          <c:order val="1"/>
          <c:tx>
            <c:strRef>
              <c:f>'[1]자동화실적(26년) (1~4월)'!$C$21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(1~4월)'!$FA$16:$FD$16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'[1]자동화실적(26년) (1~4월)'!$FA$21:$FD$21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1C-49EE-93AD-12B323FD02D1}"/>
            </c:ext>
          </c:extLst>
        </c:ser>
        <c:ser>
          <c:idx val="2"/>
          <c:order val="2"/>
          <c:tx>
            <c:strRef>
              <c:f>'[1]자동화실적(26년) (1~4월)'!$C$22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(1~4월)'!$FA$16:$FD$16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'[1]자동화실적(26년) (1~4월)'!$FA$22:$FD$22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1C-49EE-93AD-12B323FD0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61392"/>
        <c:axId val="1930558672"/>
      </c:lineChart>
      <c:catAx>
        <c:axId val="193054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57584"/>
        <c:crosses val="autoZero"/>
        <c:auto val="0"/>
        <c:lblAlgn val="ctr"/>
        <c:lblOffset val="100"/>
        <c:noMultiLvlLbl val="1"/>
      </c:catAx>
      <c:valAx>
        <c:axId val="193055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41264"/>
        <c:crosses val="autoZero"/>
        <c:crossBetween val="between"/>
      </c:valAx>
      <c:catAx>
        <c:axId val="1930561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0558672"/>
        <c:crosses val="autoZero"/>
        <c:auto val="1"/>
        <c:lblAlgn val="ctr"/>
        <c:lblOffset val="100"/>
        <c:noMultiLvlLbl val="1"/>
      </c:catAx>
      <c:valAx>
        <c:axId val="19305586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61392"/>
        <c:crosses val="max"/>
        <c:crossBetween val="between"/>
      </c:valAx>
    </c:plotArea>
    <c:legend>
      <c:legendPos val="t"/>
      <c:layout>
        <c:manualLayout>
          <c:xMode val="edge"/>
          <c:yMode val="edge"/>
          <c:x val="1.400559606272919E-3"/>
          <c:y val="4.2150307332162122E-2"/>
          <c:w val="0.99859944039372706"/>
          <c:h val="0.101293494470676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4238028858192178E-2"/>
          <c:y val="0.14743871122574179"/>
          <c:w val="0.87875211693486965"/>
          <c:h val="0.70407831204429305"/>
        </c:manualLayout>
      </c:layout>
      <c:lineChart>
        <c:grouping val="standard"/>
        <c:varyColors val="0"/>
        <c:ser>
          <c:idx val="0"/>
          <c:order val="0"/>
          <c:tx>
            <c:strRef>
              <c:f>'[1]자동화실적(26년) (1~4월)'!$B$54:$C$54</c:f>
              <c:strCache>
                <c:ptCount val="1"/>
                <c:pt idx="0">
                  <c:v>#REF! #REF!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(1~4월)'!$EV$51:$EY$51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'[1]자동화실적(26년) (1~4월)'!$EV$54:$EY$54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B-419F-B373-5C7A13C1689C}"/>
            </c:ext>
          </c:extLst>
        </c:ser>
        <c:ser>
          <c:idx val="1"/>
          <c:order val="1"/>
          <c:tx>
            <c:strRef>
              <c:f>'[1]자동화실적(26년) (1~4월)'!$B$58:$C$58</c:f>
              <c:strCache>
                <c:ptCount val="1"/>
                <c:pt idx="0">
                  <c:v>#REF! 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(1~4월)'!$EV$51:$EY$51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'[1]자동화실적(26년) (1~4월)'!$EV$58:$EY$58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DB-419F-B373-5C7A13C16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41808"/>
        <c:axId val="1930562480"/>
      </c:lineChart>
      <c:catAx>
        <c:axId val="193054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62480"/>
        <c:crosses val="autoZero"/>
        <c:auto val="0"/>
        <c:lblAlgn val="ctr"/>
        <c:lblOffset val="100"/>
        <c:noMultiLvlLbl val="1"/>
      </c:catAx>
      <c:valAx>
        <c:axId val="193056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4180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"/>
          <c:y val="0"/>
          <c:w val="1"/>
          <c:h val="0.1204524850765017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4238028858192178E-2"/>
          <c:y val="0.14743871122574179"/>
          <c:w val="0.87875211693486965"/>
          <c:h val="0.70407831204429305"/>
        </c:manualLayout>
      </c:layout>
      <c:lineChart>
        <c:grouping val="standard"/>
        <c:varyColors val="0"/>
        <c:ser>
          <c:idx val="0"/>
          <c:order val="0"/>
          <c:tx>
            <c:strRef>
              <c:f>'[1]자동화실적(26년) (1~4월)'!$B$54:$C$54</c:f>
              <c:strCache>
                <c:ptCount val="1"/>
                <c:pt idx="0">
                  <c:v>#REF! #REF!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(1~4월)'!$FA$51:$FD$51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'[1]자동화실적(26년) (1~4월)'!$FA$54:$FD$54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5D-438F-A839-97A40842D448}"/>
            </c:ext>
          </c:extLst>
        </c:ser>
        <c:ser>
          <c:idx val="1"/>
          <c:order val="1"/>
          <c:tx>
            <c:strRef>
              <c:f>'[1]자동화실적(26년) (1~4월)'!$B$58:$C$58</c:f>
              <c:strCache>
                <c:ptCount val="1"/>
                <c:pt idx="0">
                  <c:v>#REF! 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(1~4월)'!$FA$51:$FD$51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'[1]자동화실적(26년) (1~4월)'!$FA$58:$FD$58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5D-438F-A839-97A40842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43440"/>
        <c:axId val="1930531472"/>
      </c:lineChart>
      <c:catAx>
        <c:axId val="193054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31472"/>
        <c:crosses val="autoZero"/>
        <c:auto val="0"/>
        <c:lblAlgn val="ctr"/>
        <c:lblOffset val="100"/>
        <c:noMultiLvlLbl val="1"/>
      </c:catAx>
      <c:valAx>
        <c:axId val="193053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4344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7.4985300675616429E-4"/>
          <c:y val="0"/>
          <c:w val="0.99925014699324377"/>
          <c:h val="0.1204524850765017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4238028858192178E-2"/>
          <c:y val="0.18177403010040849"/>
          <c:w val="0.87875211693486965"/>
          <c:h val="0.669742938440637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'[1]자동화실적(26년) (1~4월)'!$C$17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'[1]자동화실적(26년) (1~4월)'!$EB$16:$ET$16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cat>
          <c:val>
            <c:numRef>
              <c:f>'[1]자동화실적(26년) (1~4월)'!$EB$17:$ET$17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9-4DB0-910D-F841BDD02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0543984"/>
        <c:axId val="1930544528"/>
      </c:barChart>
      <c:lineChart>
        <c:grouping val="standard"/>
        <c:varyColors val="0"/>
        <c:ser>
          <c:idx val="1"/>
          <c:order val="1"/>
          <c:tx>
            <c:strRef>
              <c:f>'[1]자동화실적(26년) (1~4월)'!$C$21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(1~4월)'!$EB$16:$ET$16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cat>
          <c:val>
            <c:numRef>
              <c:f>'[1]자동화실적(26년) (1~4월)'!$EB$21:$ET$21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99-4DB0-910D-F841BDD025B0}"/>
            </c:ext>
          </c:extLst>
        </c:ser>
        <c:ser>
          <c:idx val="2"/>
          <c:order val="2"/>
          <c:tx>
            <c:strRef>
              <c:f>'[1]자동화실적(26년) (1~4월)'!$C$22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(1~4월)'!$EB$16:$ET$16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cat>
          <c:val>
            <c:numRef>
              <c:f>'[1]자동화실적(26년) (1~4월)'!$EB$22:$ET$22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99-4DB0-910D-F841BDD02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45616"/>
        <c:axId val="1930545072"/>
      </c:lineChart>
      <c:catAx>
        <c:axId val="193054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44528"/>
        <c:crosses val="autoZero"/>
        <c:auto val="0"/>
        <c:lblAlgn val="ctr"/>
        <c:lblOffset val="100"/>
        <c:noMultiLvlLbl val="1"/>
      </c:catAx>
      <c:valAx>
        <c:axId val="193054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43984"/>
        <c:crosses val="autoZero"/>
        <c:crossBetween val="between"/>
      </c:valAx>
      <c:catAx>
        <c:axId val="1930545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0545072"/>
        <c:crosses val="autoZero"/>
        <c:auto val="1"/>
        <c:lblAlgn val="ctr"/>
        <c:lblOffset val="100"/>
        <c:noMultiLvlLbl val="1"/>
      </c:catAx>
      <c:valAx>
        <c:axId val="19305450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45616"/>
        <c:crosses val="max"/>
        <c:crossBetween val="between"/>
      </c:valAx>
    </c:plotArea>
    <c:legend>
      <c:legendPos val="t"/>
      <c:layout>
        <c:manualLayout>
          <c:xMode val="edge"/>
          <c:yMode val="edge"/>
          <c:x val="1.400559606272919E-3"/>
          <c:y val="4.2150307332162122E-2"/>
          <c:w val="0.99859944039372706"/>
          <c:h val="0.101293494470676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4238028858192178E-2"/>
          <c:y val="0.14743871122574179"/>
          <c:w val="0.87875211693486965"/>
          <c:h val="0.70407831204429305"/>
        </c:manualLayout>
      </c:layout>
      <c:lineChart>
        <c:grouping val="standard"/>
        <c:varyColors val="0"/>
        <c:ser>
          <c:idx val="0"/>
          <c:order val="0"/>
          <c:tx>
            <c:strRef>
              <c:f>'[1]자동화실적(26년) (1~4월)'!$B$54:$C$54</c:f>
              <c:strCache>
                <c:ptCount val="1"/>
                <c:pt idx="0">
                  <c:v>#REF! #REF!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Lbls>
            <c:dLbl>
              <c:idx val="1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7B-47BD-B001-24236C84FAEA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(1~4월)'!$EB$51:$ET$51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cat>
          <c:val>
            <c:numRef>
              <c:f>'[1]자동화실적(26년) (1~4월)'!$EB$54:$ET$54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7B-47BD-B001-24236C84FAEA}"/>
            </c:ext>
          </c:extLst>
        </c:ser>
        <c:ser>
          <c:idx val="1"/>
          <c:order val="1"/>
          <c:tx>
            <c:strRef>
              <c:f>'[1]자동화실적(26년) (1~4월)'!$B$58:$C$58</c:f>
              <c:strCache>
                <c:ptCount val="1"/>
                <c:pt idx="0">
                  <c:v>#REF! 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'[1]자동화실적(26년) (1~4월)'!$EB$51:$ET$51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cat>
          <c:val>
            <c:numRef>
              <c:f>'[1]자동화실적(26년) (1~4월)'!$EB$58:$ET$58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7B-47BD-B001-24236C84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46160"/>
        <c:axId val="1930546704"/>
      </c:lineChart>
      <c:catAx>
        <c:axId val="193054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46704"/>
        <c:crosses val="autoZero"/>
        <c:auto val="0"/>
        <c:lblAlgn val="ctr"/>
        <c:lblOffset val="100"/>
        <c:noMultiLvlLbl val="1"/>
      </c:catAx>
      <c:valAx>
        <c:axId val="193054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54616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7.4985300675616429E-4"/>
          <c:y val="0"/>
          <c:w val="0.99925014699324377"/>
          <c:h val="0.1204524850765017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28573</xdr:colOff>
      <xdr:row>2</xdr:row>
      <xdr:rowOff>19050</xdr:rowOff>
    </xdr:from>
    <xdr:to>
      <xdr:col>110</xdr:col>
      <xdr:colOff>12758</xdr:colOff>
      <xdr:row>13</xdr:row>
      <xdr:rowOff>150466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110</xdr:col>
      <xdr:colOff>142874</xdr:colOff>
      <xdr:row>2</xdr:row>
      <xdr:rowOff>9525</xdr:rowOff>
    </xdr:from>
    <xdr:to>
      <xdr:col>130</xdr:col>
      <xdr:colOff>28575</xdr:colOff>
      <xdr:row>13</xdr:row>
      <xdr:rowOff>140941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131</xdr:col>
      <xdr:colOff>0</xdr:colOff>
      <xdr:row>1</xdr:row>
      <xdr:rowOff>200025</xdr:rowOff>
    </xdr:from>
    <xdr:to>
      <xdr:col>145</xdr:col>
      <xdr:colOff>0</xdr:colOff>
      <xdr:row>13</xdr:row>
      <xdr:rowOff>121891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111</xdr:col>
      <xdr:colOff>614</xdr:colOff>
      <xdr:row>37</xdr:row>
      <xdr:rowOff>28574</xdr:rowOff>
    </xdr:from>
    <xdr:to>
      <xdr:col>130</xdr:col>
      <xdr:colOff>9525</xdr:colOff>
      <xdr:row>48</xdr:row>
      <xdr:rowOff>131415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38100</xdr:colOff>
      <xdr:row>37</xdr:row>
      <xdr:rowOff>38099</xdr:rowOff>
    </xdr:from>
    <xdr:to>
      <xdr:col>110</xdr:col>
      <xdr:colOff>9525</xdr:colOff>
      <xdr:row>48</xdr:row>
      <xdr:rowOff>140940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131</xdr:col>
      <xdr:colOff>0</xdr:colOff>
      <xdr:row>37</xdr:row>
      <xdr:rowOff>28574</xdr:rowOff>
    </xdr:from>
    <xdr:to>
      <xdr:col>145</xdr:col>
      <xdr:colOff>0</xdr:colOff>
      <xdr:row>48</xdr:row>
      <xdr:rowOff>131415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150</xdr:col>
      <xdr:colOff>142874</xdr:colOff>
      <xdr:row>2</xdr:row>
      <xdr:rowOff>9525</xdr:rowOff>
    </xdr:from>
    <xdr:to>
      <xdr:col>155</xdr:col>
      <xdr:colOff>28575</xdr:colOff>
      <xdr:row>13</xdr:row>
      <xdr:rowOff>140941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155</xdr:col>
      <xdr:colOff>142874</xdr:colOff>
      <xdr:row>1</xdr:row>
      <xdr:rowOff>200025</xdr:rowOff>
    </xdr:from>
    <xdr:to>
      <xdr:col>160</xdr:col>
      <xdr:colOff>0</xdr:colOff>
      <xdr:row>13</xdr:row>
      <xdr:rowOff>121891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151</xdr:col>
      <xdr:colOff>0</xdr:colOff>
      <xdr:row>37</xdr:row>
      <xdr:rowOff>28574</xdr:rowOff>
    </xdr:from>
    <xdr:to>
      <xdr:col>155</xdr:col>
      <xdr:colOff>9525</xdr:colOff>
      <xdr:row>48</xdr:row>
      <xdr:rowOff>131415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155</xdr:col>
      <xdr:colOff>142874</xdr:colOff>
      <xdr:row>37</xdr:row>
      <xdr:rowOff>28574</xdr:rowOff>
    </xdr:from>
    <xdr:to>
      <xdr:col>160</xdr:col>
      <xdr:colOff>0</xdr:colOff>
      <xdr:row>48</xdr:row>
      <xdr:rowOff>131415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131</xdr:col>
      <xdr:colOff>1</xdr:colOff>
      <xdr:row>1</xdr:row>
      <xdr:rowOff>200025</xdr:rowOff>
    </xdr:from>
    <xdr:to>
      <xdr:col>150</xdr:col>
      <xdr:colOff>1</xdr:colOff>
      <xdr:row>13</xdr:row>
      <xdr:rowOff>121891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131</xdr:col>
      <xdr:colOff>0</xdr:colOff>
      <xdr:row>37</xdr:row>
      <xdr:rowOff>28574</xdr:rowOff>
    </xdr:from>
    <xdr:to>
      <xdr:col>150</xdr:col>
      <xdr:colOff>0</xdr:colOff>
      <xdr:row>48</xdr:row>
      <xdr:rowOff>131415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088;&#46041;&#54868;&#49892;&#51201;(26&#45380;)%20(1~4&#50900;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동화실적(26년) (1~4월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년 월별실적"/>
      <sheetName val="26년 월별실적"/>
      <sheetName val="E5SP TOP (사출)"/>
      <sheetName val="E5SP TOP (Tape)"/>
      <sheetName val="E5SP HBB (사출)"/>
      <sheetName val="E5SP HBB (조립)"/>
      <sheetName val="U6A4조립"/>
      <sheetName val="Sheet1"/>
      <sheetName val="U6A5 TOP"/>
      <sheetName val="미달성사유"/>
      <sheetName val="자동화실적(26년)"/>
      <sheetName val="E5SP TOP (수동)"/>
      <sheetName val="자동화실적(25년)"/>
      <sheetName val="26.1월 Tape자동화 개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6">
          <cell r="D16">
            <v>46024</v>
          </cell>
          <cell r="EB16" t="str">
            <v>1-1W</v>
          </cell>
          <cell r="EC16" t="str">
            <v>1-2W</v>
          </cell>
          <cell r="ED16" t="str">
            <v>1-3W</v>
          </cell>
          <cell r="EE16" t="str">
            <v>1-4W</v>
          </cell>
          <cell r="EF16" t="str">
            <v>1-5W</v>
          </cell>
          <cell r="EG16" t="str">
            <v>2-1W</v>
          </cell>
          <cell r="EH16" t="str">
            <v>2-2W</v>
          </cell>
          <cell r="EI16" t="str">
            <v>2-3W</v>
          </cell>
          <cell r="EJ16" t="str">
            <v>2-4W</v>
          </cell>
          <cell r="EK16" t="str">
            <v>3-1W</v>
          </cell>
          <cell r="EL16" t="str">
            <v>3-2W</v>
          </cell>
          <cell r="EM16" t="str">
            <v>3-3W</v>
          </cell>
          <cell r="EN16" t="str">
            <v>3-4W</v>
          </cell>
          <cell r="EO16" t="str">
            <v>3-5W</v>
          </cell>
        </row>
        <row r="17">
          <cell r="C17" t="str">
            <v>투입수량</v>
          </cell>
          <cell r="EB17">
            <v>1273</v>
          </cell>
          <cell r="EC17">
            <v>1154.5999999999999</v>
          </cell>
          <cell r="ED17">
            <v>1142.4000000000001</v>
          </cell>
          <cell r="EE17">
            <v>1021</v>
          </cell>
          <cell r="EF17">
            <v>1276</v>
          </cell>
          <cell r="EG17">
            <v>1300.8</v>
          </cell>
          <cell r="EH17">
            <v>1208.5</v>
          </cell>
          <cell r="EI17">
            <v>1335.5</v>
          </cell>
          <cell r="EJ17">
            <v>1125</v>
          </cell>
          <cell r="EK17">
            <v>1288.75</v>
          </cell>
          <cell r="EL17">
            <v>1343.3</v>
          </cell>
          <cell r="EM17">
            <v>1226.2</v>
          </cell>
          <cell r="EN17">
            <v>1191</v>
          </cell>
          <cell r="EO17">
            <v>908.5</v>
          </cell>
        </row>
        <row r="21">
          <cell r="C21" t="str">
            <v>공정불량율</v>
          </cell>
          <cell r="EB21">
            <v>5.8130400628436767E-2</v>
          </cell>
          <cell r="EC21">
            <v>5.9760956175298807E-2</v>
          </cell>
          <cell r="ED21">
            <v>4.6393557422969182E-2</v>
          </cell>
          <cell r="EE21">
            <v>7.8550440744368275E-2</v>
          </cell>
          <cell r="EF21">
            <v>3.072100313479624E-2</v>
          </cell>
          <cell r="EG21">
            <v>2.1986469864698648E-2</v>
          </cell>
          <cell r="EH21">
            <v>3.061646669424907E-2</v>
          </cell>
          <cell r="EI21">
            <v>2.6706601772120309E-2</v>
          </cell>
          <cell r="EJ21">
            <v>2.5777777777777778E-2</v>
          </cell>
          <cell r="EK21">
            <v>4.3452958292919494E-2</v>
          </cell>
          <cell r="EL21">
            <v>2.2630834512022632E-2</v>
          </cell>
          <cell r="EM21">
            <v>1.7941608220518674E-2</v>
          </cell>
          <cell r="EN21">
            <v>6.2300587741393777E-2</v>
          </cell>
          <cell r="EO21">
            <v>7.5399009356081459E-2</v>
          </cell>
        </row>
        <row r="22">
          <cell r="C22" t="str">
            <v>최종불량율</v>
          </cell>
          <cell r="EB22">
            <v>3.3778476040848389E-2</v>
          </cell>
          <cell r="EC22">
            <v>2.8234886540793352E-2</v>
          </cell>
          <cell r="ED22">
            <v>2.3109243697478989E-2</v>
          </cell>
          <cell r="EE22">
            <v>1.5670910871694418E-2</v>
          </cell>
          <cell r="EF22">
            <v>1.2539184952978056E-2</v>
          </cell>
          <cell r="EG22">
            <v>1.0608856088560886E-2</v>
          </cell>
          <cell r="EH22">
            <v>1.5308233347124535E-2</v>
          </cell>
          <cell r="EI22">
            <v>9.7341819543242235E-3</v>
          </cell>
          <cell r="EJ22">
            <v>8.8888888888888889E-3</v>
          </cell>
          <cell r="EK22">
            <v>2.2308438409311349E-2</v>
          </cell>
          <cell r="EL22">
            <v>4.6899426784783741E-3</v>
          </cell>
          <cell r="EM22">
            <v>9.1339096395367785E-3</v>
          </cell>
          <cell r="EN22">
            <v>4.2317380352644839E-2</v>
          </cell>
          <cell r="EO22">
            <v>5.5035773252614197E-2</v>
          </cell>
        </row>
        <row r="51">
          <cell r="EB51" t="str">
            <v>1-1W</v>
          </cell>
          <cell r="EC51" t="str">
            <v>1-2W</v>
          </cell>
          <cell r="ED51" t="str">
            <v>1-3W</v>
          </cell>
          <cell r="EE51" t="str">
            <v>1-4W</v>
          </cell>
          <cell r="EF51" t="str">
            <v>1-5W</v>
          </cell>
          <cell r="EG51" t="str">
            <v>2-1W</v>
          </cell>
          <cell r="EH51" t="str">
            <v>2-2W</v>
          </cell>
          <cell r="EI51" t="str">
            <v>2-3W</v>
          </cell>
          <cell r="EJ51" t="str">
            <v>2-4W</v>
          </cell>
          <cell r="EK51" t="str">
            <v>3-1W</v>
          </cell>
          <cell r="EL51" t="str">
            <v>3-2W</v>
          </cell>
          <cell r="EM51" t="str">
            <v>3-3W</v>
          </cell>
          <cell r="EN51" t="str">
            <v>3-4W</v>
          </cell>
          <cell r="EO51" t="str">
            <v>3-5W</v>
          </cell>
        </row>
        <row r="54">
          <cell r="B54" t="str">
            <v>정지횟수</v>
          </cell>
          <cell r="EB54">
            <v>188</v>
          </cell>
          <cell r="EC54">
            <v>137.80000000000001</v>
          </cell>
          <cell r="ED54">
            <v>133</v>
          </cell>
          <cell r="EE54">
            <v>103</v>
          </cell>
          <cell r="EF54">
            <v>86.8</v>
          </cell>
          <cell r="EG54">
            <v>80.800000000000011</v>
          </cell>
          <cell r="EH54">
            <v>87.833333333333329</v>
          </cell>
          <cell r="EI54">
            <v>90.666666666666657</v>
          </cell>
          <cell r="EJ54">
            <v>113.33333333333334</v>
          </cell>
          <cell r="EK54">
            <v>93</v>
          </cell>
          <cell r="EL54">
            <v>87.233333333333334</v>
          </cell>
          <cell r="EM54">
            <v>95.800000000000011</v>
          </cell>
          <cell r="EN54">
            <v>113.2</v>
          </cell>
          <cell r="EO54">
            <v>69</v>
          </cell>
        </row>
        <row r="58">
          <cell r="B58" t="str">
            <v>유실시간(분)</v>
          </cell>
          <cell r="EB58">
            <v>100</v>
          </cell>
          <cell r="EC58">
            <v>172</v>
          </cell>
          <cell r="ED58">
            <v>126</v>
          </cell>
          <cell r="EE58">
            <v>80</v>
          </cell>
          <cell r="EF58">
            <v>74</v>
          </cell>
          <cell r="EG58">
            <v>150</v>
          </cell>
          <cell r="EH58">
            <v>48.333333333333329</v>
          </cell>
          <cell r="EI58">
            <v>46.666666666666671</v>
          </cell>
          <cell r="EJ58">
            <v>68.333333333333329</v>
          </cell>
          <cell r="EK58">
            <v>137.5</v>
          </cell>
          <cell r="EL58">
            <v>74.833333333333329</v>
          </cell>
          <cell r="EM58">
            <v>55</v>
          </cell>
          <cell r="EN58">
            <v>87.1</v>
          </cell>
          <cell r="EO58">
            <v>124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57"/>
  <sheetViews>
    <sheetView workbookViewId="0">
      <selection activeCell="F40" sqref="F40"/>
    </sheetView>
  </sheetViews>
  <sheetFormatPr defaultColWidth="9" defaultRowHeight="12.75" outlineLevelRow="1"/>
  <cols>
    <col min="1" max="1" width="1.5703125" style="1" customWidth="1"/>
    <col min="2" max="2" width="10.42578125" style="1" bestFit="1" customWidth="1"/>
    <col min="3" max="4" width="4.42578125" style="1" customWidth="1"/>
    <col min="5" max="5" width="6.7109375" style="1" customWidth="1"/>
    <col min="6" max="6" width="6.85546875" style="1" bestFit="1" customWidth="1"/>
    <col min="7" max="8" width="6" style="1" customWidth="1"/>
    <col min="9" max="10" width="4.42578125" style="1" customWidth="1"/>
    <col min="11" max="11" width="6.7109375" style="1" customWidth="1"/>
    <col min="12" max="12" width="6.85546875" style="1" bestFit="1" customWidth="1"/>
    <col min="13" max="14" width="6" style="1" customWidth="1"/>
    <col min="15" max="16" width="4.5703125" style="1" bestFit="1" customWidth="1"/>
    <col min="17" max="17" width="6.7109375" style="1" customWidth="1"/>
    <col min="18" max="18" width="6.85546875" style="1" bestFit="1" customWidth="1"/>
    <col min="19" max="20" width="6" style="1" customWidth="1"/>
    <col min="21" max="21" width="1.5703125" style="1" customWidth="1"/>
    <col min="22" max="22" width="9" style="1" customWidth="1"/>
    <col min="23" max="16384" width="9" style="1"/>
  </cols>
  <sheetData>
    <row r="1" spans="2:20" ht="13.5" customHeight="1" thickBot="1"/>
    <row r="2" spans="2:20" ht="13.5" customHeight="1">
      <c r="B2" s="218" t="s">
        <v>0</v>
      </c>
      <c r="C2" s="211" t="s">
        <v>1</v>
      </c>
      <c r="D2" s="212"/>
      <c r="E2" s="212"/>
      <c r="F2" s="212"/>
      <c r="G2" s="212"/>
      <c r="H2" s="213"/>
      <c r="I2" s="211" t="s">
        <v>2</v>
      </c>
      <c r="J2" s="212"/>
      <c r="K2" s="212"/>
      <c r="L2" s="212"/>
      <c r="M2" s="212"/>
      <c r="N2" s="213"/>
      <c r="O2" s="211" t="s">
        <v>3</v>
      </c>
      <c r="P2" s="212"/>
      <c r="Q2" s="212"/>
      <c r="R2" s="212"/>
      <c r="S2" s="212"/>
      <c r="T2" s="213"/>
    </row>
    <row r="3" spans="2:20" ht="13.5" customHeight="1">
      <c r="B3" s="219"/>
      <c r="C3" s="209" t="s">
        <v>4</v>
      </c>
      <c r="D3" s="210"/>
      <c r="E3" s="214" t="s">
        <v>5</v>
      </c>
      <c r="F3" s="215"/>
      <c r="G3" s="210"/>
      <c r="H3" s="216" t="s">
        <v>6</v>
      </c>
      <c r="I3" s="209" t="s">
        <v>4</v>
      </c>
      <c r="J3" s="210"/>
      <c r="K3" s="214" t="s">
        <v>5</v>
      </c>
      <c r="L3" s="215"/>
      <c r="M3" s="210"/>
      <c r="N3" s="216" t="s">
        <v>6</v>
      </c>
      <c r="O3" s="209" t="s">
        <v>4</v>
      </c>
      <c r="P3" s="210"/>
      <c r="Q3" s="214" t="s">
        <v>5</v>
      </c>
      <c r="R3" s="215"/>
      <c r="S3" s="210"/>
      <c r="T3" s="216" t="s">
        <v>6</v>
      </c>
    </row>
    <row r="4" spans="2:20" ht="25.5" customHeight="1">
      <c r="B4" s="220"/>
      <c r="C4" s="2" t="s">
        <v>7</v>
      </c>
      <c r="D4" s="3" t="s">
        <v>8</v>
      </c>
      <c r="E4" s="4" t="s">
        <v>9</v>
      </c>
      <c r="F4" s="5" t="s">
        <v>10</v>
      </c>
      <c r="G4" s="6" t="s">
        <v>11</v>
      </c>
      <c r="H4" s="217"/>
      <c r="I4" s="2" t="s">
        <v>7</v>
      </c>
      <c r="J4" s="3" t="s">
        <v>8</v>
      </c>
      <c r="K4" s="4" t="s">
        <v>9</v>
      </c>
      <c r="L4" s="5" t="s">
        <v>10</v>
      </c>
      <c r="M4" s="6" t="s">
        <v>11</v>
      </c>
      <c r="N4" s="217"/>
      <c r="O4" s="2" t="s">
        <v>7</v>
      </c>
      <c r="P4" s="3" t="s">
        <v>8</v>
      </c>
      <c r="Q4" s="4" t="s">
        <v>9</v>
      </c>
      <c r="R4" s="5" t="s">
        <v>10</v>
      </c>
      <c r="S4" s="6" t="s">
        <v>11</v>
      </c>
      <c r="T4" s="217"/>
    </row>
    <row r="5" spans="2:20" outlineLevel="1">
      <c r="B5" s="7">
        <v>46023</v>
      </c>
      <c r="C5" s="8"/>
      <c r="D5" s="9"/>
      <c r="E5" s="10"/>
      <c r="F5" s="11"/>
      <c r="G5" s="12" t="str">
        <f t="shared" ref="G5:G40" si="0">IFERROR(F5/E5,"")</f>
        <v/>
      </c>
      <c r="H5" s="13" t="str">
        <f t="shared" ref="H5:H15" si="1">IFERROR(F5/D5,"")</f>
        <v/>
      </c>
      <c r="I5" s="8"/>
      <c r="J5" s="9"/>
      <c r="K5" s="10"/>
      <c r="L5" s="11"/>
      <c r="M5" s="12" t="str">
        <f t="shared" ref="M5:M40" si="2">IFERROR(L5/K5,"")</f>
        <v/>
      </c>
      <c r="N5" s="13" t="str">
        <f t="shared" ref="N5:N15" si="3">IFERROR(L5/J5,"")</f>
        <v/>
      </c>
      <c r="O5" s="8" t="str">
        <f t="shared" ref="O5:O15" si="4">IF((C5+I5)=0,"",(C5+I5))</f>
        <v/>
      </c>
      <c r="P5" s="9" t="str">
        <f t="shared" ref="P5:P15" si="5">IF((D5+J5)=0,"",(D5+J5))</f>
        <v/>
      </c>
      <c r="Q5" s="10" t="str">
        <f t="shared" ref="Q5:Q15" si="6">IF((E5+K5)=0,"",(E5+K5))</f>
        <v/>
      </c>
      <c r="R5" s="11" t="str">
        <f t="shared" ref="R5:R15" si="7">IF((F5+L5)=0,"",(F5+L5))</f>
        <v/>
      </c>
      <c r="S5" s="12" t="str">
        <f t="shared" ref="S5:S40" si="8">IFERROR(R5/Q5,"")</f>
        <v/>
      </c>
      <c r="T5" s="13" t="str">
        <f t="shared" ref="T5:T15" si="9">IFERROR(R5/P5,"")</f>
        <v/>
      </c>
    </row>
    <row r="6" spans="2:20" outlineLevel="1">
      <c r="B6" s="14">
        <f t="shared" ref="B6:B15" si="10">+B5+1</f>
        <v>46024</v>
      </c>
      <c r="C6" s="15">
        <v>3</v>
      </c>
      <c r="D6" s="16">
        <v>3</v>
      </c>
      <c r="E6" s="17">
        <v>600</v>
      </c>
      <c r="F6" s="18">
        <v>585</v>
      </c>
      <c r="G6" s="19">
        <f t="shared" si="0"/>
        <v>0.97499999999999998</v>
      </c>
      <c r="H6" s="20">
        <f t="shared" si="1"/>
        <v>195</v>
      </c>
      <c r="I6" s="15">
        <v>3</v>
      </c>
      <c r="J6" s="16">
        <v>3</v>
      </c>
      <c r="K6" s="17">
        <v>600</v>
      </c>
      <c r="L6" s="18">
        <v>645</v>
      </c>
      <c r="M6" s="19">
        <f t="shared" si="2"/>
        <v>1.075</v>
      </c>
      <c r="N6" s="20">
        <f t="shared" si="3"/>
        <v>215</v>
      </c>
      <c r="O6" s="15">
        <f t="shared" si="4"/>
        <v>6</v>
      </c>
      <c r="P6" s="16">
        <f t="shared" si="5"/>
        <v>6</v>
      </c>
      <c r="Q6" s="17">
        <f t="shared" si="6"/>
        <v>1200</v>
      </c>
      <c r="R6" s="18">
        <f t="shared" si="7"/>
        <v>1230</v>
      </c>
      <c r="S6" s="19">
        <f t="shared" si="8"/>
        <v>1.0249999999999999</v>
      </c>
      <c r="T6" s="20">
        <f t="shared" si="9"/>
        <v>205</v>
      </c>
    </row>
    <row r="7" spans="2:20" outlineLevel="1">
      <c r="B7" s="14">
        <f t="shared" si="10"/>
        <v>46025</v>
      </c>
      <c r="C7" s="15"/>
      <c r="D7" s="16"/>
      <c r="E7" s="17"/>
      <c r="F7" s="18"/>
      <c r="G7" s="19" t="str">
        <f t="shared" si="0"/>
        <v/>
      </c>
      <c r="H7" s="20" t="str">
        <f t="shared" si="1"/>
        <v/>
      </c>
      <c r="I7" s="15"/>
      <c r="J7" s="16"/>
      <c r="K7" s="17"/>
      <c r="L7" s="18"/>
      <c r="M7" s="19" t="str">
        <f t="shared" si="2"/>
        <v/>
      </c>
      <c r="N7" s="20" t="str">
        <f t="shared" si="3"/>
        <v/>
      </c>
      <c r="O7" s="15" t="str">
        <f t="shared" si="4"/>
        <v/>
      </c>
      <c r="P7" s="16" t="str">
        <f t="shared" si="5"/>
        <v/>
      </c>
      <c r="Q7" s="17" t="str">
        <f t="shared" si="6"/>
        <v/>
      </c>
      <c r="R7" s="18" t="str">
        <f t="shared" si="7"/>
        <v/>
      </c>
      <c r="S7" s="19" t="str">
        <f t="shared" si="8"/>
        <v/>
      </c>
      <c r="T7" s="20" t="str">
        <f t="shared" si="9"/>
        <v/>
      </c>
    </row>
    <row r="8" spans="2:20" outlineLevel="1">
      <c r="B8" s="14">
        <f t="shared" si="10"/>
        <v>46026</v>
      </c>
      <c r="C8" s="15"/>
      <c r="D8" s="16"/>
      <c r="E8" s="17"/>
      <c r="F8" s="18"/>
      <c r="G8" s="19" t="str">
        <f t="shared" si="0"/>
        <v/>
      </c>
      <c r="H8" s="20" t="str">
        <f t="shared" si="1"/>
        <v/>
      </c>
      <c r="I8" s="15"/>
      <c r="J8" s="16"/>
      <c r="K8" s="17"/>
      <c r="L8" s="18"/>
      <c r="M8" s="19" t="str">
        <f t="shared" si="2"/>
        <v/>
      </c>
      <c r="N8" s="20" t="str">
        <f t="shared" si="3"/>
        <v/>
      </c>
      <c r="O8" s="15" t="str">
        <f t="shared" si="4"/>
        <v/>
      </c>
      <c r="P8" s="16" t="str">
        <f t="shared" si="5"/>
        <v/>
      </c>
      <c r="Q8" s="17" t="str">
        <f t="shared" si="6"/>
        <v/>
      </c>
      <c r="R8" s="18" t="str">
        <f t="shared" si="7"/>
        <v/>
      </c>
      <c r="S8" s="19" t="str">
        <f t="shared" si="8"/>
        <v/>
      </c>
      <c r="T8" s="20" t="str">
        <f t="shared" si="9"/>
        <v/>
      </c>
    </row>
    <row r="9" spans="2:20" outlineLevel="1">
      <c r="B9" s="14">
        <f t="shared" si="10"/>
        <v>46027</v>
      </c>
      <c r="C9" s="15">
        <v>3</v>
      </c>
      <c r="D9" s="16">
        <v>3</v>
      </c>
      <c r="E9" s="17">
        <v>600</v>
      </c>
      <c r="F9" s="18">
        <v>570</v>
      </c>
      <c r="G9" s="19">
        <f t="shared" si="0"/>
        <v>0.95</v>
      </c>
      <c r="H9" s="20">
        <f t="shared" si="1"/>
        <v>190</v>
      </c>
      <c r="I9" s="15">
        <v>3</v>
      </c>
      <c r="J9" s="16">
        <v>3</v>
      </c>
      <c r="K9" s="17">
        <v>600</v>
      </c>
      <c r="L9" s="18">
        <v>645</v>
      </c>
      <c r="M9" s="19">
        <f t="shared" si="2"/>
        <v>1.075</v>
      </c>
      <c r="N9" s="20">
        <f t="shared" si="3"/>
        <v>215</v>
      </c>
      <c r="O9" s="15">
        <f t="shared" si="4"/>
        <v>6</v>
      </c>
      <c r="P9" s="16">
        <f t="shared" si="5"/>
        <v>6</v>
      </c>
      <c r="Q9" s="17">
        <f t="shared" si="6"/>
        <v>1200</v>
      </c>
      <c r="R9" s="18">
        <f t="shared" si="7"/>
        <v>1215</v>
      </c>
      <c r="S9" s="19">
        <f t="shared" si="8"/>
        <v>1.0125</v>
      </c>
      <c r="T9" s="20">
        <f t="shared" si="9"/>
        <v>202.5</v>
      </c>
    </row>
    <row r="10" spans="2:20" outlineLevel="1">
      <c r="B10" s="14">
        <f t="shared" si="10"/>
        <v>46028</v>
      </c>
      <c r="C10" s="15">
        <v>3</v>
      </c>
      <c r="D10" s="16">
        <v>3</v>
      </c>
      <c r="E10" s="17">
        <v>600</v>
      </c>
      <c r="F10" s="18">
        <v>585</v>
      </c>
      <c r="G10" s="19">
        <f t="shared" si="0"/>
        <v>0.97499999999999998</v>
      </c>
      <c r="H10" s="20">
        <f t="shared" si="1"/>
        <v>195</v>
      </c>
      <c r="I10" s="15">
        <v>3</v>
      </c>
      <c r="J10" s="16">
        <v>3</v>
      </c>
      <c r="K10" s="17">
        <v>600</v>
      </c>
      <c r="L10" s="18">
        <v>645</v>
      </c>
      <c r="M10" s="19">
        <f t="shared" si="2"/>
        <v>1.075</v>
      </c>
      <c r="N10" s="20">
        <f t="shared" si="3"/>
        <v>215</v>
      </c>
      <c r="O10" s="15">
        <f t="shared" si="4"/>
        <v>6</v>
      </c>
      <c r="P10" s="16">
        <f t="shared" si="5"/>
        <v>6</v>
      </c>
      <c r="Q10" s="17">
        <f t="shared" si="6"/>
        <v>1200</v>
      </c>
      <c r="R10" s="18">
        <f t="shared" si="7"/>
        <v>1230</v>
      </c>
      <c r="S10" s="19">
        <f t="shared" si="8"/>
        <v>1.0249999999999999</v>
      </c>
      <c r="T10" s="20">
        <f t="shared" si="9"/>
        <v>205</v>
      </c>
    </row>
    <row r="11" spans="2:20" outlineLevel="1">
      <c r="B11" s="14">
        <f t="shared" si="10"/>
        <v>46029</v>
      </c>
      <c r="C11" s="15">
        <v>3</v>
      </c>
      <c r="D11" s="16">
        <v>3</v>
      </c>
      <c r="E11" s="17">
        <v>600</v>
      </c>
      <c r="F11" s="18">
        <v>510</v>
      </c>
      <c r="G11" s="19">
        <f t="shared" si="0"/>
        <v>0.85</v>
      </c>
      <c r="H11" s="20">
        <f t="shared" si="1"/>
        <v>170</v>
      </c>
      <c r="I11" s="15">
        <v>3</v>
      </c>
      <c r="J11" s="16">
        <v>3</v>
      </c>
      <c r="K11" s="17">
        <v>600</v>
      </c>
      <c r="L11" s="18">
        <v>600</v>
      </c>
      <c r="M11" s="19">
        <f t="shared" si="2"/>
        <v>1</v>
      </c>
      <c r="N11" s="20">
        <f t="shared" si="3"/>
        <v>200</v>
      </c>
      <c r="O11" s="15">
        <f t="shared" si="4"/>
        <v>6</v>
      </c>
      <c r="P11" s="16">
        <f t="shared" si="5"/>
        <v>6</v>
      </c>
      <c r="Q11" s="17">
        <f t="shared" si="6"/>
        <v>1200</v>
      </c>
      <c r="R11" s="18">
        <f t="shared" si="7"/>
        <v>1110</v>
      </c>
      <c r="S11" s="19">
        <f t="shared" si="8"/>
        <v>0.92500000000000004</v>
      </c>
      <c r="T11" s="20">
        <f t="shared" si="9"/>
        <v>185</v>
      </c>
    </row>
    <row r="12" spans="2:20" outlineLevel="1">
      <c r="B12" s="14">
        <f t="shared" si="10"/>
        <v>46030</v>
      </c>
      <c r="C12" s="15">
        <v>3</v>
      </c>
      <c r="D12" s="16">
        <v>3</v>
      </c>
      <c r="E12" s="17">
        <v>600</v>
      </c>
      <c r="F12" s="18">
        <v>600</v>
      </c>
      <c r="G12" s="19">
        <f t="shared" si="0"/>
        <v>1</v>
      </c>
      <c r="H12" s="20">
        <f t="shared" si="1"/>
        <v>200</v>
      </c>
      <c r="I12" s="15">
        <v>3</v>
      </c>
      <c r="J12" s="16">
        <v>3</v>
      </c>
      <c r="K12" s="17">
        <v>600</v>
      </c>
      <c r="L12" s="18">
        <v>630</v>
      </c>
      <c r="M12" s="19">
        <f t="shared" si="2"/>
        <v>1.05</v>
      </c>
      <c r="N12" s="20">
        <f t="shared" si="3"/>
        <v>210</v>
      </c>
      <c r="O12" s="15">
        <f t="shared" si="4"/>
        <v>6</v>
      </c>
      <c r="P12" s="16">
        <f t="shared" si="5"/>
        <v>6</v>
      </c>
      <c r="Q12" s="17">
        <f t="shared" si="6"/>
        <v>1200</v>
      </c>
      <c r="R12" s="18">
        <f t="shared" si="7"/>
        <v>1230</v>
      </c>
      <c r="S12" s="19">
        <f t="shared" si="8"/>
        <v>1.0249999999999999</v>
      </c>
      <c r="T12" s="20">
        <f t="shared" si="9"/>
        <v>205</v>
      </c>
    </row>
    <row r="13" spans="2:20" outlineLevel="1">
      <c r="B13" s="14">
        <f t="shared" si="10"/>
        <v>46031</v>
      </c>
      <c r="C13" s="15">
        <v>3</v>
      </c>
      <c r="D13" s="16">
        <v>3</v>
      </c>
      <c r="E13" s="17">
        <v>600</v>
      </c>
      <c r="F13" s="18">
        <v>673</v>
      </c>
      <c r="G13" s="19">
        <f t="shared" si="0"/>
        <v>1.1216666666666666</v>
      </c>
      <c r="H13" s="20">
        <f t="shared" si="1"/>
        <v>224.33333333333334</v>
      </c>
      <c r="I13" s="15">
        <v>3</v>
      </c>
      <c r="J13" s="16">
        <v>3</v>
      </c>
      <c r="K13" s="17">
        <v>600</v>
      </c>
      <c r="L13" s="18">
        <v>450</v>
      </c>
      <c r="M13" s="19">
        <f t="shared" si="2"/>
        <v>0.75</v>
      </c>
      <c r="N13" s="20">
        <f t="shared" si="3"/>
        <v>150</v>
      </c>
      <c r="O13" s="15">
        <f t="shared" si="4"/>
        <v>6</v>
      </c>
      <c r="P13" s="16">
        <f t="shared" si="5"/>
        <v>6</v>
      </c>
      <c r="Q13" s="17">
        <f t="shared" si="6"/>
        <v>1200</v>
      </c>
      <c r="R13" s="18">
        <f t="shared" si="7"/>
        <v>1123</v>
      </c>
      <c r="S13" s="19">
        <f t="shared" si="8"/>
        <v>0.93583333333333329</v>
      </c>
      <c r="T13" s="20">
        <f t="shared" si="9"/>
        <v>187.16666666666666</v>
      </c>
    </row>
    <row r="14" spans="2:20" outlineLevel="1">
      <c r="B14" s="14">
        <f t="shared" si="10"/>
        <v>46032</v>
      </c>
      <c r="C14" s="15"/>
      <c r="D14" s="16"/>
      <c r="E14" s="17"/>
      <c r="F14" s="18"/>
      <c r="G14" s="19" t="str">
        <f t="shared" si="0"/>
        <v/>
      </c>
      <c r="H14" s="20" t="str">
        <f t="shared" si="1"/>
        <v/>
      </c>
      <c r="I14" s="15"/>
      <c r="J14" s="16"/>
      <c r="K14" s="17"/>
      <c r="L14" s="18"/>
      <c r="M14" s="19" t="str">
        <f t="shared" si="2"/>
        <v/>
      </c>
      <c r="N14" s="20" t="str">
        <f t="shared" si="3"/>
        <v/>
      </c>
      <c r="O14" s="15" t="str">
        <f t="shared" si="4"/>
        <v/>
      </c>
      <c r="P14" s="16" t="str">
        <f t="shared" si="5"/>
        <v/>
      </c>
      <c r="Q14" s="17" t="str">
        <f t="shared" si="6"/>
        <v/>
      </c>
      <c r="R14" s="18" t="str">
        <f t="shared" si="7"/>
        <v/>
      </c>
      <c r="S14" s="19" t="str">
        <f t="shared" si="8"/>
        <v/>
      </c>
      <c r="T14" s="20" t="str">
        <f t="shared" si="9"/>
        <v/>
      </c>
    </row>
    <row r="15" spans="2:20" outlineLevel="1">
      <c r="B15" s="21">
        <f t="shared" si="10"/>
        <v>46033</v>
      </c>
      <c r="C15" s="22"/>
      <c r="D15" s="23"/>
      <c r="E15" s="24"/>
      <c r="F15" s="25"/>
      <c r="G15" s="26" t="str">
        <f t="shared" si="0"/>
        <v/>
      </c>
      <c r="H15" s="27" t="str">
        <f t="shared" si="1"/>
        <v/>
      </c>
      <c r="I15" s="22"/>
      <c r="J15" s="23"/>
      <c r="K15" s="24"/>
      <c r="L15" s="25"/>
      <c r="M15" s="26" t="str">
        <f t="shared" si="2"/>
        <v/>
      </c>
      <c r="N15" s="27" t="str">
        <f t="shared" si="3"/>
        <v/>
      </c>
      <c r="O15" s="22" t="str">
        <f t="shared" si="4"/>
        <v/>
      </c>
      <c r="P15" s="23" t="str">
        <f t="shared" si="5"/>
        <v/>
      </c>
      <c r="Q15" s="24" t="str">
        <f t="shared" si="6"/>
        <v/>
      </c>
      <c r="R15" s="25" t="str">
        <f t="shared" si="7"/>
        <v/>
      </c>
      <c r="S15" s="26" t="str">
        <f t="shared" si="8"/>
        <v/>
      </c>
      <c r="T15" s="27" t="str">
        <f t="shared" si="9"/>
        <v/>
      </c>
    </row>
    <row r="16" spans="2:20">
      <c r="B16" s="28" t="s">
        <v>12</v>
      </c>
      <c r="C16" s="29">
        <f>IFERROR(AVERAGE(C5:C15),"")</f>
        <v>3</v>
      </c>
      <c r="D16" s="30">
        <f>IFERROR(AVERAGE(D5:D15),"")</f>
        <v>3</v>
      </c>
      <c r="E16" s="31">
        <f>SUM(E5:E15)</f>
        <v>3600</v>
      </c>
      <c r="F16" s="32">
        <f>SUM(F5:F15)</f>
        <v>3523</v>
      </c>
      <c r="G16" s="33">
        <f t="shared" si="0"/>
        <v>0.9786111111111111</v>
      </c>
      <c r="H16" s="34">
        <f>IFERROR(AVERAGE(H5:H15),"")</f>
        <v>195.7222222222222</v>
      </c>
      <c r="I16" s="29">
        <f>IFERROR(AVERAGE(I5:I15),"")</f>
        <v>3</v>
      </c>
      <c r="J16" s="30">
        <f>IFERROR(AVERAGE(J5:J15),"")</f>
        <v>3</v>
      </c>
      <c r="K16" s="31">
        <f>SUM(K5:K15)</f>
        <v>3600</v>
      </c>
      <c r="L16" s="32">
        <f>SUM(L5:L15)</f>
        <v>3615</v>
      </c>
      <c r="M16" s="33">
        <f t="shared" si="2"/>
        <v>1.0041666666666667</v>
      </c>
      <c r="N16" s="34">
        <f>IFERROR(AVERAGE(N5:N15),"")</f>
        <v>200.83333333333334</v>
      </c>
      <c r="O16" s="29">
        <f>IFERROR(AVERAGE(O5:O15),"")</f>
        <v>6</v>
      </c>
      <c r="P16" s="30">
        <f>IFERROR(AVERAGE(P5:P15),"")</f>
        <v>6</v>
      </c>
      <c r="Q16" s="31">
        <f>SUM(Q5:Q15)</f>
        <v>7200</v>
      </c>
      <c r="R16" s="32">
        <f>SUM(R5:R15)</f>
        <v>7138</v>
      </c>
      <c r="S16" s="33">
        <f t="shared" si="8"/>
        <v>0.99138888888888888</v>
      </c>
      <c r="T16" s="34">
        <f>IFERROR(AVERAGE(T5:T15),"")</f>
        <v>198.2777777777778</v>
      </c>
    </row>
    <row r="17" spans="2:20" outlineLevel="1">
      <c r="B17" s="7">
        <f>+B15+1</f>
        <v>46034</v>
      </c>
      <c r="C17" s="8">
        <v>3</v>
      </c>
      <c r="D17" s="9">
        <v>3</v>
      </c>
      <c r="E17" s="10">
        <v>600</v>
      </c>
      <c r="F17" s="11">
        <v>570</v>
      </c>
      <c r="G17" s="12">
        <f t="shared" si="0"/>
        <v>0.95</v>
      </c>
      <c r="H17" s="13">
        <f t="shared" ref="H17:H23" si="11">IFERROR(F17/D17,"")</f>
        <v>190</v>
      </c>
      <c r="I17" s="8">
        <v>3</v>
      </c>
      <c r="J17" s="9">
        <v>3</v>
      </c>
      <c r="K17" s="10">
        <v>600</v>
      </c>
      <c r="L17" s="11">
        <v>435</v>
      </c>
      <c r="M17" s="12">
        <f t="shared" si="2"/>
        <v>0.72499999999999998</v>
      </c>
      <c r="N17" s="13">
        <f t="shared" ref="N17:N23" si="12">IFERROR(L17/J17,"")</f>
        <v>145</v>
      </c>
      <c r="O17" s="8">
        <f t="shared" ref="O17:R23" si="13">IF((C17+I17)=0,"",(C17+I17))</f>
        <v>6</v>
      </c>
      <c r="P17" s="9">
        <f t="shared" si="13"/>
        <v>6</v>
      </c>
      <c r="Q17" s="10">
        <f t="shared" si="13"/>
        <v>1200</v>
      </c>
      <c r="R17" s="11">
        <f t="shared" si="13"/>
        <v>1005</v>
      </c>
      <c r="S17" s="12">
        <f t="shared" si="8"/>
        <v>0.83750000000000002</v>
      </c>
      <c r="T17" s="13">
        <f t="shared" ref="T17:T23" si="14">IFERROR(R17/P17,"")</f>
        <v>167.5</v>
      </c>
    </row>
    <row r="18" spans="2:20" outlineLevel="1">
      <c r="B18" s="14">
        <f t="shared" ref="B18:B23" si="15">+B17+1</f>
        <v>46035</v>
      </c>
      <c r="C18" s="15">
        <v>3</v>
      </c>
      <c r="D18" s="16">
        <v>3</v>
      </c>
      <c r="E18" s="17">
        <v>600</v>
      </c>
      <c r="F18" s="18">
        <v>615</v>
      </c>
      <c r="G18" s="19">
        <f t="shared" si="0"/>
        <v>1.0249999999999999</v>
      </c>
      <c r="H18" s="20">
        <f t="shared" si="11"/>
        <v>205</v>
      </c>
      <c r="I18" s="15">
        <v>3</v>
      </c>
      <c r="J18" s="16">
        <v>3</v>
      </c>
      <c r="K18" s="17">
        <v>600</v>
      </c>
      <c r="L18" s="18">
        <v>660</v>
      </c>
      <c r="M18" s="19">
        <f t="shared" si="2"/>
        <v>1.1000000000000001</v>
      </c>
      <c r="N18" s="20">
        <f t="shared" si="12"/>
        <v>220</v>
      </c>
      <c r="O18" s="15">
        <f t="shared" si="13"/>
        <v>6</v>
      </c>
      <c r="P18" s="16">
        <f t="shared" si="13"/>
        <v>6</v>
      </c>
      <c r="Q18" s="17">
        <f t="shared" si="13"/>
        <v>1200</v>
      </c>
      <c r="R18" s="18">
        <f t="shared" si="13"/>
        <v>1275</v>
      </c>
      <c r="S18" s="19">
        <f t="shared" si="8"/>
        <v>1.0625</v>
      </c>
      <c r="T18" s="20">
        <f t="shared" si="14"/>
        <v>212.5</v>
      </c>
    </row>
    <row r="19" spans="2:20" outlineLevel="1">
      <c r="B19" s="14">
        <f t="shared" si="15"/>
        <v>46036</v>
      </c>
      <c r="C19" s="15">
        <v>3</v>
      </c>
      <c r="D19" s="16">
        <v>3</v>
      </c>
      <c r="E19" s="17">
        <v>600</v>
      </c>
      <c r="F19" s="18">
        <v>675</v>
      </c>
      <c r="G19" s="19">
        <f t="shared" si="0"/>
        <v>1.125</v>
      </c>
      <c r="H19" s="20">
        <f t="shared" si="11"/>
        <v>225</v>
      </c>
      <c r="I19" s="15">
        <v>3</v>
      </c>
      <c r="J19" s="16">
        <v>3</v>
      </c>
      <c r="K19" s="17">
        <v>600</v>
      </c>
      <c r="L19" s="18">
        <v>525</v>
      </c>
      <c r="M19" s="19">
        <f t="shared" si="2"/>
        <v>0.875</v>
      </c>
      <c r="N19" s="20">
        <f t="shared" si="12"/>
        <v>175</v>
      </c>
      <c r="O19" s="15">
        <f t="shared" si="13"/>
        <v>6</v>
      </c>
      <c r="P19" s="16">
        <f t="shared" si="13"/>
        <v>6</v>
      </c>
      <c r="Q19" s="17">
        <f t="shared" si="13"/>
        <v>1200</v>
      </c>
      <c r="R19" s="18">
        <f t="shared" si="13"/>
        <v>1200</v>
      </c>
      <c r="S19" s="19">
        <f t="shared" si="8"/>
        <v>1</v>
      </c>
      <c r="T19" s="20">
        <f t="shared" si="14"/>
        <v>200</v>
      </c>
    </row>
    <row r="20" spans="2:20" outlineLevel="1">
      <c r="B20" s="14">
        <f t="shared" si="15"/>
        <v>46037</v>
      </c>
      <c r="C20" s="15">
        <v>3</v>
      </c>
      <c r="D20" s="16">
        <v>3</v>
      </c>
      <c r="E20" s="17">
        <v>600</v>
      </c>
      <c r="F20" s="18">
        <v>660</v>
      </c>
      <c r="G20" s="19">
        <f t="shared" si="0"/>
        <v>1.1000000000000001</v>
      </c>
      <c r="H20" s="20">
        <f t="shared" si="11"/>
        <v>220</v>
      </c>
      <c r="I20" s="15">
        <v>3</v>
      </c>
      <c r="J20" s="16">
        <v>3</v>
      </c>
      <c r="K20" s="17">
        <v>600</v>
      </c>
      <c r="L20" s="18">
        <v>600</v>
      </c>
      <c r="M20" s="19">
        <f t="shared" si="2"/>
        <v>1</v>
      </c>
      <c r="N20" s="20">
        <f t="shared" si="12"/>
        <v>200</v>
      </c>
      <c r="O20" s="15">
        <f t="shared" si="13"/>
        <v>6</v>
      </c>
      <c r="P20" s="16">
        <f t="shared" si="13"/>
        <v>6</v>
      </c>
      <c r="Q20" s="17">
        <f t="shared" si="13"/>
        <v>1200</v>
      </c>
      <c r="R20" s="18">
        <f t="shared" si="13"/>
        <v>1260</v>
      </c>
      <c r="S20" s="19">
        <f t="shared" si="8"/>
        <v>1.05</v>
      </c>
      <c r="T20" s="20">
        <f t="shared" si="14"/>
        <v>210</v>
      </c>
    </row>
    <row r="21" spans="2:20" outlineLevel="1">
      <c r="B21" s="14">
        <f t="shared" si="15"/>
        <v>46038</v>
      </c>
      <c r="C21" s="15">
        <v>3</v>
      </c>
      <c r="D21" s="16">
        <v>3</v>
      </c>
      <c r="E21" s="17">
        <v>600</v>
      </c>
      <c r="F21" s="18">
        <v>210</v>
      </c>
      <c r="G21" s="19">
        <f t="shared" si="0"/>
        <v>0.35</v>
      </c>
      <c r="H21" s="20">
        <f t="shared" si="11"/>
        <v>70</v>
      </c>
      <c r="I21" s="15">
        <v>3</v>
      </c>
      <c r="J21" s="16">
        <v>3</v>
      </c>
      <c r="K21" s="17">
        <v>600</v>
      </c>
      <c r="L21" s="18">
        <v>615</v>
      </c>
      <c r="M21" s="19">
        <f t="shared" si="2"/>
        <v>1.0249999999999999</v>
      </c>
      <c r="N21" s="20">
        <f t="shared" si="12"/>
        <v>205</v>
      </c>
      <c r="O21" s="15">
        <f t="shared" si="13"/>
        <v>6</v>
      </c>
      <c r="P21" s="16">
        <f t="shared" si="13"/>
        <v>6</v>
      </c>
      <c r="Q21" s="17">
        <f t="shared" si="13"/>
        <v>1200</v>
      </c>
      <c r="R21" s="18">
        <f t="shared" si="13"/>
        <v>825</v>
      </c>
      <c r="S21" s="19">
        <f t="shared" si="8"/>
        <v>0.6875</v>
      </c>
      <c r="T21" s="20">
        <f t="shared" si="14"/>
        <v>137.5</v>
      </c>
    </row>
    <row r="22" spans="2:20" outlineLevel="1">
      <c r="B22" s="14">
        <f t="shared" si="15"/>
        <v>46039</v>
      </c>
      <c r="C22" s="15"/>
      <c r="D22" s="16"/>
      <c r="E22" s="17"/>
      <c r="F22" s="18"/>
      <c r="G22" s="19" t="str">
        <f t="shared" si="0"/>
        <v/>
      </c>
      <c r="H22" s="20" t="str">
        <f t="shared" si="11"/>
        <v/>
      </c>
      <c r="I22" s="15"/>
      <c r="J22" s="16"/>
      <c r="K22" s="17"/>
      <c r="L22" s="18"/>
      <c r="M22" s="19" t="str">
        <f t="shared" si="2"/>
        <v/>
      </c>
      <c r="N22" s="20" t="str">
        <f t="shared" si="12"/>
        <v/>
      </c>
      <c r="O22" s="15" t="str">
        <f t="shared" si="13"/>
        <v/>
      </c>
      <c r="P22" s="16" t="str">
        <f t="shared" si="13"/>
        <v/>
      </c>
      <c r="Q22" s="17" t="str">
        <f t="shared" si="13"/>
        <v/>
      </c>
      <c r="R22" s="18" t="str">
        <f t="shared" si="13"/>
        <v/>
      </c>
      <c r="S22" s="19" t="str">
        <f t="shared" si="8"/>
        <v/>
      </c>
      <c r="T22" s="20" t="str">
        <f t="shared" si="14"/>
        <v/>
      </c>
    </row>
    <row r="23" spans="2:20" outlineLevel="1">
      <c r="B23" s="21">
        <f t="shared" si="15"/>
        <v>46040</v>
      </c>
      <c r="C23" s="22"/>
      <c r="D23" s="23"/>
      <c r="E23" s="24"/>
      <c r="F23" s="25"/>
      <c r="G23" s="26" t="str">
        <f t="shared" si="0"/>
        <v/>
      </c>
      <c r="H23" s="27" t="str">
        <f t="shared" si="11"/>
        <v/>
      </c>
      <c r="I23" s="22"/>
      <c r="J23" s="23"/>
      <c r="K23" s="24"/>
      <c r="L23" s="25"/>
      <c r="M23" s="26" t="str">
        <f t="shared" si="2"/>
        <v/>
      </c>
      <c r="N23" s="27" t="str">
        <f t="shared" si="12"/>
        <v/>
      </c>
      <c r="O23" s="22" t="str">
        <f t="shared" si="13"/>
        <v/>
      </c>
      <c r="P23" s="23" t="str">
        <f t="shared" si="13"/>
        <v/>
      </c>
      <c r="Q23" s="24" t="str">
        <f t="shared" si="13"/>
        <v/>
      </c>
      <c r="R23" s="25" t="str">
        <f t="shared" si="13"/>
        <v/>
      </c>
      <c r="S23" s="26" t="str">
        <f t="shared" si="8"/>
        <v/>
      </c>
      <c r="T23" s="27" t="str">
        <f t="shared" si="14"/>
        <v/>
      </c>
    </row>
    <row r="24" spans="2:20">
      <c r="B24" s="28" t="s">
        <v>13</v>
      </c>
      <c r="C24" s="29">
        <f>IFERROR(AVERAGE(C17:C23),"")</f>
        <v>3</v>
      </c>
      <c r="D24" s="30">
        <f>IFERROR(AVERAGE(D17:D23),"")</f>
        <v>3</v>
      </c>
      <c r="E24" s="31">
        <f>SUM(E17:E23)</f>
        <v>3000</v>
      </c>
      <c r="F24" s="32">
        <f>SUM(F17:F23)</f>
        <v>2730</v>
      </c>
      <c r="G24" s="33">
        <f t="shared" si="0"/>
        <v>0.91</v>
      </c>
      <c r="H24" s="34">
        <f>IFERROR(AVERAGE(H17:H23),"")</f>
        <v>182</v>
      </c>
      <c r="I24" s="29">
        <f>IFERROR(AVERAGE(I17:I23),"")</f>
        <v>3</v>
      </c>
      <c r="J24" s="30">
        <f>IFERROR(AVERAGE(J17:J23),"")</f>
        <v>3</v>
      </c>
      <c r="K24" s="31">
        <f>SUM(K17:K23)</f>
        <v>3000</v>
      </c>
      <c r="L24" s="32">
        <f>SUM(L17:L23)</f>
        <v>2835</v>
      </c>
      <c r="M24" s="33">
        <f t="shared" si="2"/>
        <v>0.94499999999999995</v>
      </c>
      <c r="N24" s="34">
        <f>IFERROR(AVERAGE(N17:N23),"")</f>
        <v>189</v>
      </c>
      <c r="O24" s="29">
        <f>IFERROR(AVERAGE(O17:O23),"")</f>
        <v>6</v>
      </c>
      <c r="P24" s="30">
        <f>IFERROR(AVERAGE(P17:P23),"")</f>
        <v>6</v>
      </c>
      <c r="Q24" s="31">
        <f>SUM(Q17:Q23)</f>
        <v>6000</v>
      </c>
      <c r="R24" s="32">
        <f>SUM(R17:R23)</f>
        <v>5565</v>
      </c>
      <c r="S24" s="33">
        <f t="shared" si="8"/>
        <v>0.92749999999999999</v>
      </c>
      <c r="T24" s="34">
        <f>IFERROR(AVERAGE(T17:T23),"")</f>
        <v>185.5</v>
      </c>
    </row>
    <row r="25" spans="2:20" outlineLevel="1">
      <c r="B25" s="7">
        <f>+B23+1</f>
        <v>46041</v>
      </c>
      <c r="C25" s="8">
        <v>3</v>
      </c>
      <c r="D25" s="9">
        <v>3</v>
      </c>
      <c r="E25" s="10">
        <v>600</v>
      </c>
      <c r="F25" s="11">
        <v>510</v>
      </c>
      <c r="G25" s="12">
        <f t="shared" si="0"/>
        <v>0.85</v>
      </c>
      <c r="H25" s="13">
        <f t="shared" ref="H25:H31" si="16">IFERROR(F25/D25,"")</f>
        <v>170</v>
      </c>
      <c r="I25" s="8">
        <v>3</v>
      </c>
      <c r="J25" s="9">
        <v>3</v>
      </c>
      <c r="K25" s="10">
        <v>600</v>
      </c>
      <c r="L25" s="11">
        <v>555</v>
      </c>
      <c r="M25" s="12">
        <f t="shared" si="2"/>
        <v>0.92500000000000004</v>
      </c>
      <c r="N25" s="13">
        <f t="shared" ref="N25:N31" si="17">IFERROR(L25/J25,"")</f>
        <v>185</v>
      </c>
      <c r="O25" s="8">
        <f t="shared" ref="O25:R31" si="18">IF((C25+I25)=0,"",(C25+I25))</f>
        <v>6</v>
      </c>
      <c r="P25" s="9">
        <f t="shared" si="18"/>
        <v>6</v>
      </c>
      <c r="Q25" s="10">
        <f t="shared" si="18"/>
        <v>1200</v>
      </c>
      <c r="R25" s="11">
        <f t="shared" si="18"/>
        <v>1065</v>
      </c>
      <c r="S25" s="12">
        <f t="shared" si="8"/>
        <v>0.88749999999999996</v>
      </c>
      <c r="T25" s="13">
        <f t="shared" ref="T25:T31" si="19">IFERROR(R25/P25,"")</f>
        <v>177.5</v>
      </c>
    </row>
    <row r="26" spans="2:20" outlineLevel="1">
      <c r="B26" s="14">
        <f t="shared" ref="B26:B31" si="20">+B25+1</f>
        <v>46042</v>
      </c>
      <c r="C26" s="15">
        <v>3</v>
      </c>
      <c r="D26" s="16">
        <v>3</v>
      </c>
      <c r="E26" s="17">
        <v>600</v>
      </c>
      <c r="F26" s="18">
        <v>465</v>
      </c>
      <c r="G26" s="19">
        <f t="shared" si="0"/>
        <v>0.77500000000000002</v>
      </c>
      <c r="H26" s="20">
        <f t="shared" si="16"/>
        <v>155</v>
      </c>
      <c r="I26" s="15">
        <v>3</v>
      </c>
      <c r="J26" s="16">
        <v>3</v>
      </c>
      <c r="K26" s="17">
        <v>600</v>
      </c>
      <c r="L26" s="18">
        <v>705</v>
      </c>
      <c r="M26" s="19">
        <f t="shared" si="2"/>
        <v>1.175</v>
      </c>
      <c r="N26" s="20">
        <f t="shared" si="17"/>
        <v>235</v>
      </c>
      <c r="O26" s="15">
        <f t="shared" si="18"/>
        <v>6</v>
      </c>
      <c r="P26" s="16">
        <f t="shared" si="18"/>
        <v>6</v>
      </c>
      <c r="Q26" s="17">
        <f t="shared" si="18"/>
        <v>1200</v>
      </c>
      <c r="R26" s="18">
        <f t="shared" si="18"/>
        <v>1170</v>
      </c>
      <c r="S26" s="19">
        <f t="shared" si="8"/>
        <v>0.97499999999999998</v>
      </c>
      <c r="T26" s="20">
        <f t="shared" si="19"/>
        <v>195</v>
      </c>
    </row>
    <row r="27" spans="2:20" outlineLevel="1">
      <c r="B27" s="14">
        <f t="shared" si="20"/>
        <v>46043</v>
      </c>
      <c r="C27" s="15">
        <v>3</v>
      </c>
      <c r="D27" s="16">
        <v>3</v>
      </c>
      <c r="E27" s="17">
        <v>600</v>
      </c>
      <c r="F27" s="18">
        <f>60+180</f>
        <v>240</v>
      </c>
      <c r="G27" s="19">
        <f t="shared" si="0"/>
        <v>0.4</v>
      </c>
      <c r="H27" s="20">
        <f t="shared" si="16"/>
        <v>80</v>
      </c>
      <c r="I27" s="15">
        <v>3</v>
      </c>
      <c r="J27" s="16">
        <v>3</v>
      </c>
      <c r="K27" s="17">
        <v>600</v>
      </c>
      <c r="L27" s="18">
        <v>600</v>
      </c>
      <c r="M27" s="19">
        <f t="shared" si="2"/>
        <v>1</v>
      </c>
      <c r="N27" s="20">
        <f t="shared" si="17"/>
        <v>200</v>
      </c>
      <c r="O27" s="15">
        <f t="shared" si="18"/>
        <v>6</v>
      </c>
      <c r="P27" s="16">
        <f t="shared" si="18"/>
        <v>6</v>
      </c>
      <c r="Q27" s="17">
        <f t="shared" si="18"/>
        <v>1200</v>
      </c>
      <c r="R27" s="18">
        <f t="shared" si="18"/>
        <v>840</v>
      </c>
      <c r="S27" s="19">
        <f t="shared" si="8"/>
        <v>0.7</v>
      </c>
      <c r="T27" s="20">
        <f t="shared" si="19"/>
        <v>140</v>
      </c>
    </row>
    <row r="28" spans="2:20" outlineLevel="1">
      <c r="B28" s="14">
        <f t="shared" si="20"/>
        <v>46044</v>
      </c>
      <c r="C28" s="15">
        <v>3</v>
      </c>
      <c r="D28" s="16">
        <v>3</v>
      </c>
      <c r="E28" s="17">
        <v>600</v>
      </c>
      <c r="F28" s="18">
        <f>195+315</f>
        <v>510</v>
      </c>
      <c r="G28" s="19">
        <f t="shared" si="0"/>
        <v>0.85</v>
      </c>
      <c r="H28" s="20">
        <f t="shared" si="16"/>
        <v>170</v>
      </c>
      <c r="I28" s="15">
        <v>3</v>
      </c>
      <c r="J28" s="16">
        <v>3</v>
      </c>
      <c r="K28" s="17">
        <v>600</v>
      </c>
      <c r="L28" s="18">
        <v>540</v>
      </c>
      <c r="M28" s="19">
        <f t="shared" si="2"/>
        <v>0.9</v>
      </c>
      <c r="N28" s="20">
        <f t="shared" si="17"/>
        <v>180</v>
      </c>
      <c r="O28" s="15">
        <f t="shared" si="18"/>
        <v>6</v>
      </c>
      <c r="P28" s="16">
        <f t="shared" si="18"/>
        <v>6</v>
      </c>
      <c r="Q28" s="17">
        <f t="shared" si="18"/>
        <v>1200</v>
      </c>
      <c r="R28" s="18">
        <f t="shared" si="18"/>
        <v>1050</v>
      </c>
      <c r="S28" s="19">
        <f t="shared" si="8"/>
        <v>0.875</v>
      </c>
      <c r="T28" s="20">
        <f t="shared" si="19"/>
        <v>175</v>
      </c>
    </row>
    <row r="29" spans="2:20" outlineLevel="1">
      <c r="B29" s="14">
        <f t="shared" si="20"/>
        <v>46045</v>
      </c>
      <c r="C29" s="15">
        <v>3</v>
      </c>
      <c r="D29" s="16">
        <v>3</v>
      </c>
      <c r="E29" s="17">
        <v>600</v>
      </c>
      <c r="F29" s="18">
        <v>360</v>
      </c>
      <c r="G29" s="19">
        <f t="shared" si="0"/>
        <v>0.6</v>
      </c>
      <c r="H29" s="20">
        <f t="shared" si="16"/>
        <v>120</v>
      </c>
      <c r="I29" s="15">
        <v>3</v>
      </c>
      <c r="J29" s="16">
        <v>3</v>
      </c>
      <c r="K29" s="17">
        <v>600</v>
      </c>
      <c r="L29" s="18">
        <v>540</v>
      </c>
      <c r="M29" s="19">
        <f t="shared" si="2"/>
        <v>0.9</v>
      </c>
      <c r="N29" s="20">
        <f t="shared" si="17"/>
        <v>180</v>
      </c>
      <c r="O29" s="15">
        <f t="shared" si="18"/>
        <v>6</v>
      </c>
      <c r="P29" s="16">
        <f t="shared" si="18"/>
        <v>6</v>
      </c>
      <c r="Q29" s="17">
        <f t="shared" si="18"/>
        <v>1200</v>
      </c>
      <c r="R29" s="18">
        <f t="shared" si="18"/>
        <v>900</v>
      </c>
      <c r="S29" s="19">
        <f t="shared" si="8"/>
        <v>0.75</v>
      </c>
      <c r="T29" s="20">
        <f t="shared" si="19"/>
        <v>150</v>
      </c>
    </row>
    <row r="30" spans="2:20" outlineLevel="1">
      <c r="B30" s="14">
        <f t="shared" si="20"/>
        <v>46046</v>
      </c>
      <c r="C30" s="15"/>
      <c r="D30" s="16"/>
      <c r="E30" s="17"/>
      <c r="F30" s="18"/>
      <c r="G30" s="19" t="str">
        <f t="shared" si="0"/>
        <v/>
      </c>
      <c r="H30" s="20" t="str">
        <f t="shared" si="16"/>
        <v/>
      </c>
      <c r="I30" s="15"/>
      <c r="J30" s="16"/>
      <c r="K30" s="17"/>
      <c r="L30" s="18"/>
      <c r="M30" s="19" t="str">
        <f t="shared" si="2"/>
        <v/>
      </c>
      <c r="N30" s="20" t="str">
        <f t="shared" si="17"/>
        <v/>
      </c>
      <c r="O30" s="15" t="str">
        <f t="shared" si="18"/>
        <v/>
      </c>
      <c r="P30" s="16" t="str">
        <f t="shared" si="18"/>
        <v/>
      </c>
      <c r="Q30" s="17" t="str">
        <f t="shared" si="18"/>
        <v/>
      </c>
      <c r="R30" s="18" t="str">
        <f t="shared" si="18"/>
        <v/>
      </c>
      <c r="S30" s="19" t="str">
        <f t="shared" si="8"/>
        <v/>
      </c>
      <c r="T30" s="20" t="str">
        <f t="shared" si="19"/>
        <v/>
      </c>
    </row>
    <row r="31" spans="2:20" outlineLevel="1">
      <c r="B31" s="21">
        <f t="shared" si="20"/>
        <v>46047</v>
      </c>
      <c r="C31" s="22"/>
      <c r="D31" s="23"/>
      <c r="E31" s="24"/>
      <c r="F31" s="25"/>
      <c r="G31" s="26" t="str">
        <f t="shared" si="0"/>
        <v/>
      </c>
      <c r="H31" s="27" t="str">
        <f t="shared" si="16"/>
        <v/>
      </c>
      <c r="I31" s="22"/>
      <c r="J31" s="23"/>
      <c r="K31" s="24"/>
      <c r="L31" s="25"/>
      <c r="M31" s="26" t="str">
        <f t="shared" si="2"/>
        <v/>
      </c>
      <c r="N31" s="27" t="str">
        <f t="shared" si="17"/>
        <v/>
      </c>
      <c r="O31" s="22" t="str">
        <f t="shared" si="18"/>
        <v/>
      </c>
      <c r="P31" s="23" t="str">
        <f t="shared" si="18"/>
        <v/>
      </c>
      <c r="Q31" s="24" t="str">
        <f t="shared" si="18"/>
        <v/>
      </c>
      <c r="R31" s="25" t="str">
        <f t="shared" si="18"/>
        <v/>
      </c>
      <c r="S31" s="26" t="str">
        <f t="shared" si="8"/>
        <v/>
      </c>
      <c r="T31" s="27" t="str">
        <f t="shared" si="19"/>
        <v/>
      </c>
    </row>
    <row r="32" spans="2:20">
      <c r="B32" s="28" t="s">
        <v>14</v>
      </c>
      <c r="C32" s="29">
        <f>IFERROR(AVERAGE(C25:C31),"")</f>
        <v>3</v>
      </c>
      <c r="D32" s="30">
        <f>IFERROR(AVERAGE(D25:D31),"")</f>
        <v>3</v>
      </c>
      <c r="E32" s="31">
        <f>SUM(E25:E31)</f>
        <v>3000</v>
      </c>
      <c r="F32" s="32">
        <f>SUM(F25:F31)</f>
        <v>2085</v>
      </c>
      <c r="G32" s="33">
        <f t="shared" si="0"/>
        <v>0.69499999999999995</v>
      </c>
      <c r="H32" s="34">
        <f>IFERROR(AVERAGE(H25:H31),"")</f>
        <v>139</v>
      </c>
      <c r="I32" s="29">
        <f>IFERROR(AVERAGE(I25:I31),"")</f>
        <v>3</v>
      </c>
      <c r="J32" s="30">
        <f>IFERROR(AVERAGE(J25:J31),"")</f>
        <v>3</v>
      </c>
      <c r="K32" s="31">
        <f>SUM(K25:K31)</f>
        <v>3000</v>
      </c>
      <c r="L32" s="32">
        <f>SUM(L25:L31)</f>
        <v>2940</v>
      </c>
      <c r="M32" s="33">
        <f t="shared" si="2"/>
        <v>0.98</v>
      </c>
      <c r="N32" s="34">
        <f>IFERROR(AVERAGE(N25:N31),"")</f>
        <v>196</v>
      </c>
      <c r="O32" s="29">
        <f>IFERROR(AVERAGE(O25:O31),"")</f>
        <v>6</v>
      </c>
      <c r="P32" s="30">
        <f>IFERROR(AVERAGE(P25:P31),"")</f>
        <v>6</v>
      </c>
      <c r="Q32" s="31">
        <f>SUM(Q25:Q31)</f>
        <v>6000</v>
      </c>
      <c r="R32" s="32">
        <f>SUM(R25:R31)</f>
        <v>5025</v>
      </c>
      <c r="S32" s="33">
        <f t="shared" si="8"/>
        <v>0.83750000000000002</v>
      </c>
      <c r="T32" s="34">
        <f>IFERROR(AVERAGE(T25:T31),"")</f>
        <v>167.5</v>
      </c>
    </row>
    <row r="33" spans="2:22" outlineLevel="1">
      <c r="B33" s="7">
        <f>+B31+1</f>
        <v>46048</v>
      </c>
      <c r="C33" s="8">
        <v>3</v>
      </c>
      <c r="D33" s="9">
        <v>3</v>
      </c>
      <c r="E33" s="10">
        <v>600</v>
      </c>
      <c r="F33" s="11">
        <v>675</v>
      </c>
      <c r="G33" s="12">
        <f t="shared" si="0"/>
        <v>1.125</v>
      </c>
      <c r="H33" s="13">
        <f t="shared" ref="H33:H38" si="21">IFERROR(F33/D33,"")</f>
        <v>225</v>
      </c>
      <c r="I33" s="8">
        <v>3</v>
      </c>
      <c r="J33" s="9">
        <v>3</v>
      </c>
      <c r="K33" s="10">
        <v>600</v>
      </c>
      <c r="L33" s="11">
        <v>645</v>
      </c>
      <c r="M33" s="12">
        <f t="shared" si="2"/>
        <v>1.075</v>
      </c>
      <c r="N33" s="13">
        <f t="shared" ref="N33:N38" si="22">IFERROR(L33/J33,"")</f>
        <v>215</v>
      </c>
      <c r="O33" s="8">
        <f t="shared" ref="O33:R37" si="23">IF((C33+I33)=0,"",(C33+I33))</f>
        <v>6</v>
      </c>
      <c r="P33" s="9">
        <f t="shared" si="23"/>
        <v>6</v>
      </c>
      <c r="Q33" s="10">
        <f t="shared" si="23"/>
        <v>1200</v>
      </c>
      <c r="R33" s="11">
        <f t="shared" si="23"/>
        <v>1320</v>
      </c>
      <c r="S33" s="12">
        <f t="shared" si="8"/>
        <v>1.1000000000000001</v>
      </c>
      <c r="T33" s="13">
        <f t="shared" ref="T33:T38" si="24">IFERROR(R33/P33,"")</f>
        <v>220</v>
      </c>
    </row>
    <row r="34" spans="2:22" outlineLevel="1">
      <c r="B34" s="14">
        <f>+B33+1</f>
        <v>46049</v>
      </c>
      <c r="C34" s="15">
        <v>3</v>
      </c>
      <c r="D34" s="16">
        <v>3</v>
      </c>
      <c r="E34" s="17">
        <v>600</v>
      </c>
      <c r="F34" s="18">
        <v>660</v>
      </c>
      <c r="G34" s="19">
        <f t="shared" si="0"/>
        <v>1.1000000000000001</v>
      </c>
      <c r="H34" s="20">
        <f t="shared" si="21"/>
        <v>220</v>
      </c>
      <c r="I34" s="15">
        <v>3</v>
      </c>
      <c r="J34" s="16">
        <v>3</v>
      </c>
      <c r="K34" s="17">
        <v>600</v>
      </c>
      <c r="L34" s="18">
        <v>690</v>
      </c>
      <c r="M34" s="19">
        <f t="shared" si="2"/>
        <v>1.1499999999999999</v>
      </c>
      <c r="N34" s="20">
        <f t="shared" si="22"/>
        <v>230</v>
      </c>
      <c r="O34" s="15">
        <f t="shared" si="23"/>
        <v>6</v>
      </c>
      <c r="P34" s="16">
        <f t="shared" si="23"/>
        <v>6</v>
      </c>
      <c r="Q34" s="17">
        <f t="shared" si="23"/>
        <v>1200</v>
      </c>
      <c r="R34" s="18">
        <f t="shared" si="23"/>
        <v>1350</v>
      </c>
      <c r="S34" s="19">
        <f t="shared" si="8"/>
        <v>1.125</v>
      </c>
      <c r="T34" s="20">
        <f t="shared" si="24"/>
        <v>225</v>
      </c>
    </row>
    <row r="35" spans="2:22" outlineLevel="1">
      <c r="B35" s="14">
        <f>+B34+1</f>
        <v>46050</v>
      </c>
      <c r="C35" s="15">
        <v>3</v>
      </c>
      <c r="D35" s="16">
        <v>3</v>
      </c>
      <c r="E35" s="17">
        <v>600</v>
      </c>
      <c r="F35" s="18">
        <v>675</v>
      </c>
      <c r="G35" s="19">
        <f t="shared" si="0"/>
        <v>1.125</v>
      </c>
      <c r="H35" s="20">
        <f t="shared" si="21"/>
        <v>225</v>
      </c>
      <c r="I35" s="15">
        <v>3</v>
      </c>
      <c r="J35" s="16">
        <v>3</v>
      </c>
      <c r="K35" s="17">
        <v>600</v>
      </c>
      <c r="L35" s="18">
        <v>705</v>
      </c>
      <c r="M35" s="19">
        <f t="shared" si="2"/>
        <v>1.175</v>
      </c>
      <c r="N35" s="20">
        <f t="shared" si="22"/>
        <v>235</v>
      </c>
      <c r="O35" s="15">
        <f t="shared" si="23"/>
        <v>6</v>
      </c>
      <c r="P35" s="16">
        <f t="shared" si="23"/>
        <v>6</v>
      </c>
      <c r="Q35" s="17">
        <f t="shared" si="23"/>
        <v>1200</v>
      </c>
      <c r="R35" s="18">
        <f t="shared" si="23"/>
        <v>1380</v>
      </c>
      <c r="S35" s="19">
        <f t="shared" si="8"/>
        <v>1.1499999999999999</v>
      </c>
      <c r="T35" s="20">
        <f t="shared" si="24"/>
        <v>230</v>
      </c>
    </row>
    <row r="36" spans="2:22" outlineLevel="1">
      <c r="B36" s="14">
        <f>+B35+1</f>
        <v>46051</v>
      </c>
      <c r="C36" s="15">
        <v>3</v>
      </c>
      <c r="D36" s="16">
        <v>3</v>
      </c>
      <c r="E36" s="17">
        <v>600</v>
      </c>
      <c r="F36" s="18">
        <v>630</v>
      </c>
      <c r="G36" s="19">
        <f t="shared" si="0"/>
        <v>1.05</v>
      </c>
      <c r="H36" s="20">
        <f t="shared" si="21"/>
        <v>210</v>
      </c>
      <c r="I36" s="15">
        <v>3</v>
      </c>
      <c r="J36" s="16">
        <v>3</v>
      </c>
      <c r="K36" s="17">
        <v>600</v>
      </c>
      <c r="L36" s="18">
        <v>690</v>
      </c>
      <c r="M36" s="19">
        <f t="shared" si="2"/>
        <v>1.1499999999999999</v>
      </c>
      <c r="N36" s="20">
        <f t="shared" si="22"/>
        <v>230</v>
      </c>
      <c r="O36" s="15">
        <f t="shared" si="23"/>
        <v>6</v>
      </c>
      <c r="P36" s="16">
        <f t="shared" si="23"/>
        <v>6</v>
      </c>
      <c r="Q36" s="17">
        <f t="shared" si="23"/>
        <v>1200</v>
      </c>
      <c r="R36" s="18">
        <f t="shared" si="23"/>
        <v>1320</v>
      </c>
      <c r="S36" s="19">
        <f t="shared" si="8"/>
        <v>1.1000000000000001</v>
      </c>
      <c r="T36" s="20">
        <f t="shared" si="24"/>
        <v>220</v>
      </c>
    </row>
    <row r="37" spans="2:22" outlineLevel="1">
      <c r="B37" s="14">
        <f>+B36+1</f>
        <v>46052</v>
      </c>
      <c r="C37" s="15">
        <v>3</v>
      </c>
      <c r="D37" s="16">
        <v>3</v>
      </c>
      <c r="E37" s="17">
        <v>600</v>
      </c>
      <c r="F37" s="18">
        <v>315</v>
      </c>
      <c r="G37" s="19">
        <f t="shared" si="0"/>
        <v>0.52500000000000002</v>
      </c>
      <c r="H37" s="20">
        <f t="shared" si="21"/>
        <v>105</v>
      </c>
      <c r="I37" s="15">
        <v>3</v>
      </c>
      <c r="J37" s="16">
        <v>3</v>
      </c>
      <c r="K37" s="17">
        <v>600</v>
      </c>
      <c r="L37" s="18">
        <v>615</v>
      </c>
      <c r="M37" s="19">
        <f t="shared" si="2"/>
        <v>1.0249999999999999</v>
      </c>
      <c r="N37" s="20">
        <f t="shared" si="22"/>
        <v>205</v>
      </c>
      <c r="O37" s="15">
        <f t="shared" si="23"/>
        <v>6</v>
      </c>
      <c r="P37" s="16">
        <f t="shared" si="23"/>
        <v>6</v>
      </c>
      <c r="Q37" s="17">
        <f t="shared" si="23"/>
        <v>1200</v>
      </c>
      <c r="R37" s="18">
        <f t="shared" si="23"/>
        <v>930</v>
      </c>
      <c r="S37" s="19">
        <f t="shared" si="8"/>
        <v>0.77500000000000002</v>
      </c>
      <c r="T37" s="20">
        <f t="shared" si="24"/>
        <v>155</v>
      </c>
    </row>
    <row r="38" spans="2:22" outlineLevel="1">
      <c r="B38" s="21">
        <f>+B37+1</f>
        <v>46053</v>
      </c>
      <c r="C38" s="22"/>
      <c r="D38" s="23"/>
      <c r="E38" s="24"/>
      <c r="F38" s="25"/>
      <c r="G38" s="26" t="str">
        <f t="shared" si="0"/>
        <v/>
      </c>
      <c r="H38" s="27" t="str">
        <f t="shared" si="21"/>
        <v/>
      </c>
      <c r="I38" s="22"/>
      <c r="J38" s="23"/>
      <c r="K38" s="24"/>
      <c r="L38" s="25"/>
      <c r="M38" s="26" t="str">
        <f t="shared" si="2"/>
        <v/>
      </c>
      <c r="N38" s="27" t="str">
        <f t="shared" si="22"/>
        <v/>
      </c>
      <c r="O38" s="22" t="str">
        <f>IF((C38+I38)=0,"",(C38+I38))</f>
        <v/>
      </c>
      <c r="P38" s="23" t="str">
        <f>IF((D38+J38)=0,"",(D38+J38))</f>
        <v/>
      </c>
      <c r="Q38" s="24"/>
      <c r="R38" s="25"/>
      <c r="S38" s="26" t="str">
        <f t="shared" si="8"/>
        <v/>
      </c>
      <c r="T38" s="27" t="str">
        <f t="shared" si="24"/>
        <v/>
      </c>
      <c r="V38" s="208"/>
    </row>
    <row r="39" spans="2:22">
      <c r="B39" s="28" t="s">
        <v>15</v>
      </c>
      <c r="C39" s="29">
        <f>IFERROR(AVERAGE(C33:C38),"")</f>
        <v>3</v>
      </c>
      <c r="D39" s="30">
        <f>IFERROR(AVERAGE(D33:D38),"")</f>
        <v>3</v>
      </c>
      <c r="E39" s="31">
        <f>SUM(E33:E38)</f>
        <v>3000</v>
      </c>
      <c r="F39" s="32">
        <f>SUM(F33:F38)</f>
        <v>2955</v>
      </c>
      <c r="G39" s="33">
        <f t="shared" si="0"/>
        <v>0.98499999999999999</v>
      </c>
      <c r="H39" s="34">
        <f>IFERROR(AVERAGE(H33:H38),"")</f>
        <v>197</v>
      </c>
      <c r="I39" s="29">
        <f>IFERROR(AVERAGE(I33:I38),"")</f>
        <v>3</v>
      </c>
      <c r="J39" s="30">
        <f>IFERROR(AVERAGE(J33:J38),"")</f>
        <v>3</v>
      </c>
      <c r="K39" s="31">
        <f>SUM(K33:K38)</f>
        <v>3000</v>
      </c>
      <c r="L39" s="32">
        <f>SUM(L33:L38)</f>
        <v>3345</v>
      </c>
      <c r="M39" s="33">
        <f t="shared" si="2"/>
        <v>1.115</v>
      </c>
      <c r="N39" s="34">
        <f>IFERROR(AVERAGE(N33:N38),"")</f>
        <v>223</v>
      </c>
      <c r="O39" s="29">
        <f>IFERROR(AVERAGE(O33:O38),"")</f>
        <v>6</v>
      </c>
      <c r="P39" s="30">
        <f>IFERROR(AVERAGE(P33:P38),"")</f>
        <v>6</v>
      </c>
      <c r="Q39" s="31">
        <f>SUM(Q33:Q38)</f>
        <v>6000</v>
      </c>
      <c r="R39" s="32">
        <f>SUM(R33:R38)</f>
        <v>6300</v>
      </c>
      <c r="S39" s="33">
        <f t="shared" si="8"/>
        <v>1.05</v>
      </c>
      <c r="T39" s="34">
        <f>IFERROR(AVERAGE(T33:T38),"")</f>
        <v>210</v>
      </c>
    </row>
    <row r="40" spans="2:22" ht="13.5" customHeight="1" thickBot="1">
      <c r="B40" s="35" t="s">
        <v>16</v>
      </c>
      <c r="C40" s="36">
        <f>IFERROR(AVERAGE(C16,C24,C32,C39),"")</f>
        <v>3</v>
      </c>
      <c r="D40" s="37">
        <f>IFERROR(AVERAGE(D16,D24,D32,D39),"")</f>
        <v>3</v>
      </c>
      <c r="E40" s="38">
        <f>SUM(E16,E24,E32,E39)</f>
        <v>12600</v>
      </c>
      <c r="F40" s="39">
        <f>SUM(F16,F24,F32,F39)</f>
        <v>11293</v>
      </c>
      <c r="G40" s="40">
        <f t="shared" si="0"/>
        <v>0.89626984126984122</v>
      </c>
      <c r="H40" s="41">
        <f>IFERROR(AVERAGE(H16,H24,H32,H39),"")</f>
        <v>178.43055555555554</v>
      </c>
      <c r="I40" s="36">
        <f>IFERROR(AVERAGE(I16,I24,I32,I39),"")</f>
        <v>3</v>
      </c>
      <c r="J40" s="37">
        <f>IFERROR(AVERAGE(J16,J24,J32,J39),"")</f>
        <v>3</v>
      </c>
      <c r="K40" s="38">
        <f>SUM(K16,K24,K32,K39)</f>
        <v>12600</v>
      </c>
      <c r="L40" s="39">
        <f>SUM(L16,L24,L32,L39)</f>
        <v>12735</v>
      </c>
      <c r="M40" s="40">
        <f t="shared" si="2"/>
        <v>1.0107142857142857</v>
      </c>
      <c r="N40" s="41">
        <f>IFERROR(AVERAGE(N16,N24,N32,N39),"")</f>
        <v>202.20833333333334</v>
      </c>
      <c r="O40" s="36">
        <f>IFERROR(AVERAGE(O16,O24,O32,O39),"")</f>
        <v>6</v>
      </c>
      <c r="P40" s="37">
        <f>IFERROR(AVERAGE(P16,P24,P32,P39),"")</f>
        <v>6</v>
      </c>
      <c r="Q40" s="38">
        <f>SUM(Q16,Q24,Q32,Q39)</f>
        <v>25200</v>
      </c>
      <c r="R40" s="39">
        <f>SUM(R16,R24,R32,R39)</f>
        <v>24028</v>
      </c>
      <c r="S40" s="40">
        <f t="shared" si="8"/>
        <v>0.9534920634920635</v>
      </c>
      <c r="T40" s="41">
        <f>IFERROR(AVERAGE(T16,T24,T32,T39),"")</f>
        <v>190.31944444444446</v>
      </c>
    </row>
    <row r="45" spans="2:22">
      <c r="F45" s="42"/>
    </row>
    <row r="52" spans="2:8">
      <c r="G52" s="1">
        <v>275</v>
      </c>
    </row>
    <row r="53" spans="2:8">
      <c r="G53" s="1">
        <v>150</v>
      </c>
    </row>
    <row r="54" spans="2:8">
      <c r="G54" s="1">
        <v>175</v>
      </c>
      <c r="H54" s="43">
        <f>+G52-G54</f>
        <v>100</v>
      </c>
    </row>
    <row r="56" spans="2:8">
      <c r="B56" s="1">
        <v>2850</v>
      </c>
    </row>
    <row r="57" spans="2:8">
      <c r="B57" s="1">
        <f>4050-B56</f>
        <v>1200</v>
      </c>
    </row>
  </sheetData>
  <mergeCells count="13">
    <mergeCell ref="T3:T4"/>
    <mergeCell ref="E3:G3"/>
    <mergeCell ref="K3:M3"/>
    <mergeCell ref="C3:D3"/>
    <mergeCell ref="B2:B4"/>
    <mergeCell ref="O2:T2"/>
    <mergeCell ref="O3:P3"/>
    <mergeCell ref="C2:H2"/>
    <mergeCell ref="I2:N2"/>
    <mergeCell ref="I3:J3"/>
    <mergeCell ref="Q3:S3"/>
    <mergeCell ref="N3:N4"/>
    <mergeCell ref="H3:H4"/>
  </mergeCells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42"/>
  <sheetViews>
    <sheetView workbookViewId="0">
      <selection activeCell="A19" sqref="A19"/>
    </sheetView>
  </sheetViews>
  <sheetFormatPr defaultColWidth="9" defaultRowHeight="12.75" outlineLevelRow="1"/>
  <cols>
    <col min="1" max="1" width="1.5703125" style="1" customWidth="1"/>
    <col min="2" max="2" width="10.42578125" style="1" bestFit="1" customWidth="1"/>
    <col min="3" max="4" width="4.42578125" style="1" customWidth="1"/>
    <col min="5" max="5" width="6.7109375" style="1" customWidth="1"/>
    <col min="6" max="6" width="6.28515625" style="1" customWidth="1"/>
    <col min="7" max="8" width="6" style="1" customWidth="1"/>
    <col min="9" max="10" width="4.42578125" style="1" customWidth="1"/>
    <col min="11" max="11" width="6.7109375" style="1" customWidth="1"/>
    <col min="12" max="12" width="6.28515625" style="1" customWidth="1"/>
    <col min="13" max="14" width="6" style="1" customWidth="1"/>
    <col min="15" max="16" width="4.5703125" style="1" bestFit="1" customWidth="1"/>
    <col min="17" max="17" width="6.7109375" style="1" customWidth="1"/>
    <col min="18" max="18" width="6.28515625" style="1" customWidth="1"/>
    <col min="19" max="20" width="6" style="1" customWidth="1"/>
    <col min="21" max="21" width="1.5703125" style="1" customWidth="1"/>
    <col min="22" max="22" width="9" style="1" customWidth="1"/>
    <col min="23" max="16384" width="9" style="1"/>
  </cols>
  <sheetData>
    <row r="1" spans="2:20" ht="13.5" customHeight="1" thickBot="1"/>
    <row r="2" spans="2:20" ht="13.5" customHeight="1">
      <c r="B2" s="218" t="s">
        <v>0</v>
      </c>
      <c r="C2" s="211" t="s">
        <v>1</v>
      </c>
      <c r="D2" s="212"/>
      <c r="E2" s="212"/>
      <c r="F2" s="212"/>
      <c r="G2" s="212"/>
      <c r="H2" s="213"/>
      <c r="I2" s="211" t="s">
        <v>2</v>
      </c>
      <c r="J2" s="212"/>
      <c r="K2" s="212"/>
      <c r="L2" s="212"/>
      <c r="M2" s="212"/>
      <c r="N2" s="213"/>
      <c r="O2" s="211" t="s">
        <v>3</v>
      </c>
      <c r="P2" s="212"/>
      <c r="Q2" s="212"/>
      <c r="R2" s="212"/>
      <c r="S2" s="212"/>
      <c r="T2" s="213"/>
    </row>
    <row r="3" spans="2:20" ht="13.5" customHeight="1">
      <c r="B3" s="219"/>
      <c r="C3" s="221" t="s">
        <v>4</v>
      </c>
      <c r="D3" s="222"/>
      <c r="E3" s="223" t="s">
        <v>5</v>
      </c>
      <c r="F3" s="224"/>
      <c r="G3" s="222"/>
      <c r="H3" s="225" t="s">
        <v>6</v>
      </c>
      <c r="I3" s="221" t="s">
        <v>4</v>
      </c>
      <c r="J3" s="222"/>
      <c r="K3" s="223" t="s">
        <v>5</v>
      </c>
      <c r="L3" s="224"/>
      <c r="M3" s="222"/>
      <c r="N3" s="225" t="s">
        <v>6</v>
      </c>
      <c r="O3" s="221" t="s">
        <v>4</v>
      </c>
      <c r="P3" s="222"/>
      <c r="Q3" s="223" t="s">
        <v>5</v>
      </c>
      <c r="R3" s="224"/>
      <c r="S3" s="222"/>
      <c r="T3" s="225" t="s">
        <v>6</v>
      </c>
    </row>
    <row r="4" spans="2:20" ht="25.5" customHeight="1">
      <c r="B4" s="220"/>
      <c r="C4" s="44" t="s">
        <v>7</v>
      </c>
      <c r="D4" s="45" t="s">
        <v>8</v>
      </c>
      <c r="E4" s="46" t="s">
        <v>9</v>
      </c>
      <c r="F4" s="47" t="s">
        <v>10</v>
      </c>
      <c r="G4" s="48" t="s">
        <v>11</v>
      </c>
      <c r="H4" s="226"/>
      <c r="I4" s="44" t="s">
        <v>7</v>
      </c>
      <c r="J4" s="45" t="s">
        <v>8</v>
      </c>
      <c r="K4" s="46" t="s">
        <v>9</v>
      </c>
      <c r="L4" s="47" t="s">
        <v>10</v>
      </c>
      <c r="M4" s="48" t="s">
        <v>11</v>
      </c>
      <c r="N4" s="226"/>
      <c r="O4" s="44" t="s">
        <v>7</v>
      </c>
      <c r="P4" s="45" t="s">
        <v>8</v>
      </c>
      <c r="Q4" s="46" t="s">
        <v>9</v>
      </c>
      <c r="R4" s="47" t="s">
        <v>10</v>
      </c>
      <c r="S4" s="48" t="s">
        <v>11</v>
      </c>
      <c r="T4" s="226"/>
    </row>
    <row r="5" spans="2:20" outlineLevel="1">
      <c r="B5" s="49">
        <v>46054</v>
      </c>
      <c r="C5" s="50"/>
      <c r="D5" s="51"/>
      <c r="E5" s="52"/>
      <c r="F5" s="53"/>
      <c r="G5" s="54" t="str">
        <f t="shared" ref="G5:G37" si="0">IFERROR(F5/E5,"")</f>
        <v/>
      </c>
      <c r="H5" s="55" t="str">
        <f t="shared" ref="H5:H12" si="1">IFERROR(F5/D5,"")</f>
        <v/>
      </c>
      <c r="I5" s="50"/>
      <c r="J5" s="51"/>
      <c r="K5" s="52"/>
      <c r="L5" s="53"/>
      <c r="M5" s="54" t="str">
        <f t="shared" ref="M5:M37" si="2">IFERROR(L5/K5,"")</f>
        <v/>
      </c>
      <c r="N5" s="55" t="str">
        <f t="shared" ref="N5:N12" si="3">IFERROR(L5/J5,"")</f>
        <v/>
      </c>
      <c r="O5" s="50" t="str">
        <f t="shared" ref="O5:R12" si="4">IF((C5+I5)=0,"",(C5+I5))</f>
        <v/>
      </c>
      <c r="P5" s="51" t="str">
        <f t="shared" si="4"/>
        <v/>
      </c>
      <c r="Q5" s="52" t="str">
        <f t="shared" si="4"/>
        <v/>
      </c>
      <c r="R5" s="53" t="str">
        <f t="shared" si="4"/>
        <v/>
      </c>
      <c r="S5" s="54" t="str">
        <f t="shared" ref="S5:S37" si="5">IFERROR(R5/Q5,"")</f>
        <v/>
      </c>
      <c r="T5" s="55" t="str">
        <f t="shared" ref="T5:T12" si="6">IFERROR(R5/P5,"")</f>
        <v/>
      </c>
    </row>
    <row r="6" spans="2:20" outlineLevel="1">
      <c r="B6" s="14">
        <f t="shared" ref="B6:B12" si="7">+B5+1</f>
        <v>46055</v>
      </c>
      <c r="C6" s="15">
        <v>3</v>
      </c>
      <c r="D6" s="16">
        <v>3</v>
      </c>
      <c r="E6" s="17">
        <v>600</v>
      </c>
      <c r="F6" s="18">
        <v>300</v>
      </c>
      <c r="G6" s="19">
        <f t="shared" si="0"/>
        <v>0.5</v>
      </c>
      <c r="H6" s="20">
        <f t="shared" si="1"/>
        <v>100</v>
      </c>
      <c r="I6" s="15">
        <v>3</v>
      </c>
      <c r="J6" s="16">
        <v>3</v>
      </c>
      <c r="K6" s="17">
        <v>600</v>
      </c>
      <c r="L6" s="18">
        <v>750</v>
      </c>
      <c r="M6" s="19">
        <f t="shared" si="2"/>
        <v>1.25</v>
      </c>
      <c r="N6" s="20">
        <f t="shared" si="3"/>
        <v>250</v>
      </c>
      <c r="O6" s="15">
        <f t="shared" si="4"/>
        <v>6</v>
      </c>
      <c r="P6" s="16">
        <f t="shared" si="4"/>
        <v>6</v>
      </c>
      <c r="Q6" s="17">
        <f t="shared" si="4"/>
        <v>1200</v>
      </c>
      <c r="R6" s="18">
        <f t="shared" si="4"/>
        <v>1050</v>
      </c>
      <c r="S6" s="19">
        <f t="shared" si="5"/>
        <v>0.875</v>
      </c>
      <c r="T6" s="20">
        <f t="shared" si="6"/>
        <v>175</v>
      </c>
    </row>
    <row r="7" spans="2:20" outlineLevel="1">
      <c r="B7" s="14">
        <f t="shared" si="7"/>
        <v>46056</v>
      </c>
      <c r="C7" s="15">
        <v>3</v>
      </c>
      <c r="D7" s="16">
        <v>3</v>
      </c>
      <c r="E7" s="17">
        <v>600</v>
      </c>
      <c r="F7" s="18">
        <v>690</v>
      </c>
      <c r="G7" s="19">
        <f t="shared" si="0"/>
        <v>1.1499999999999999</v>
      </c>
      <c r="H7" s="20">
        <f t="shared" si="1"/>
        <v>230</v>
      </c>
      <c r="I7" s="15">
        <v>3</v>
      </c>
      <c r="J7" s="16">
        <v>3</v>
      </c>
      <c r="K7" s="17">
        <v>600</v>
      </c>
      <c r="L7" s="18">
        <v>660</v>
      </c>
      <c r="M7" s="19">
        <f t="shared" si="2"/>
        <v>1.1000000000000001</v>
      </c>
      <c r="N7" s="20">
        <f t="shared" si="3"/>
        <v>220</v>
      </c>
      <c r="O7" s="15">
        <f t="shared" si="4"/>
        <v>6</v>
      </c>
      <c r="P7" s="16">
        <f t="shared" si="4"/>
        <v>6</v>
      </c>
      <c r="Q7" s="17">
        <f t="shared" si="4"/>
        <v>1200</v>
      </c>
      <c r="R7" s="18">
        <f t="shared" si="4"/>
        <v>1350</v>
      </c>
      <c r="S7" s="19">
        <f t="shared" si="5"/>
        <v>1.125</v>
      </c>
      <c r="T7" s="20">
        <f t="shared" si="6"/>
        <v>225</v>
      </c>
    </row>
    <row r="8" spans="2:20" outlineLevel="1">
      <c r="B8" s="14">
        <f t="shared" si="7"/>
        <v>46057</v>
      </c>
      <c r="C8" s="15">
        <v>3</v>
      </c>
      <c r="D8" s="16">
        <v>3</v>
      </c>
      <c r="E8" s="17">
        <v>600</v>
      </c>
      <c r="F8" s="18">
        <f>525+165</f>
        <v>690</v>
      </c>
      <c r="G8" s="19">
        <f t="shared" si="0"/>
        <v>1.1499999999999999</v>
      </c>
      <c r="H8" s="20">
        <f t="shared" si="1"/>
        <v>230</v>
      </c>
      <c r="I8" s="15">
        <v>3</v>
      </c>
      <c r="J8" s="16">
        <v>3</v>
      </c>
      <c r="K8" s="17">
        <v>600</v>
      </c>
      <c r="L8" s="18">
        <v>675</v>
      </c>
      <c r="M8" s="19">
        <f t="shared" si="2"/>
        <v>1.125</v>
      </c>
      <c r="N8" s="20">
        <f t="shared" si="3"/>
        <v>225</v>
      </c>
      <c r="O8" s="15">
        <f t="shared" si="4"/>
        <v>6</v>
      </c>
      <c r="P8" s="16">
        <f t="shared" si="4"/>
        <v>6</v>
      </c>
      <c r="Q8" s="17">
        <f t="shared" si="4"/>
        <v>1200</v>
      </c>
      <c r="R8" s="18">
        <f t="shared" si="4"/>
        <v>1365</v>
      </c>
      <c r="S8" s="19">
        <f t="shared" si="5"/>
        <v>1.1375</v>
      </c>
      <c r="T8" s="20">
        <f t="shared" si="6"/>
        <v>227.5</v>
      </c>
    </row>
    <row r="9" spans="2:20" outlineLevel="1">
      <c r="B9" s="14">
        <f t="shared" si="7"/>
        <v>46058</v>
      </c>
      <c r="C9" s="15">
        <v>3</v>
      </c>
      <c r="D9" s="16">
        <v>3</v>
      </c>
      <c r="E9" s="17">
        <v>600</v>
      </c>
      <c r="F9" s="18">
        <v>810</v>
      </c>
      <c r="G9" s="19">
        <f t="shared" si="0"/>
        <v>1.35</v>
      </c>
      <c r="H9" s="20">
        <f t="shared" si="1"/>
        <v>270</v>
      </c>
      <c r="I9" s="15">
        <v>3</v>
      </c>
      <c r="J9" s="16">
        <v>3</v>
      </c>
      <c r="K9" s="17">
        <v>600</v>
      </c>
      <c r="L9" s="18">
        <v>525</v>
      </c>
      <c r="M9" s="19">
        <f t="shared" si="2"/>
        <v>0.875</v>
      </c>
      <c r="N9" s="20">
        <f t="shared" si="3"/>
        <v>175</v>
      </c>
      <c r="O9" s="15">
        <f t="shared" si="4"/>
        <v>6</v>
      </c>
      <c r="P9" s="16">
        <f t="shared" si="4"/>
        <v>6</v>
      </c>
      <c r="Q9" s="17">
        <f t="shared" si="4"/>
        <v>1200</v>
      </c>
      <c r="R9" s="18">
        <f t="shared" si="4"/>
        <v>1335</v>
      </c>
      <c r="S9" s="19">
        <f t="shared" si="5"/>
        <v>1.1125</v>
      </c>
      <c r="T9" s="20">
        <f t="shared" si="6"/>
        <v>222.5</v>
      </c>
    </row>
    <row r="10" spans="2:20" outlineLevel="1">
      <c r="B10" s="14">
        <f t="shared" si="7"/>
        <v>46059</v>
      </c>
      <c r="C10" s="15">
        <v>3</v>
      </c>
      <c r="D10" s="16">
        <v>3</v>
      </c>
      <c r="E10" s="17">
        <v>600</v>
      </c>
      <c r="F10" s="18">
        <v>675</v>
      </c>
      <c r="G10" s="19">
        <f t="shared" si="0"/>
        <v>1.125</v>
      </c>
      <c r="H10" s="20">
        <f t="shared" si="1"/>
        <v>225</v>
      </c>
      <c r="I10" s="15">
        <v>3</v>
      </c>
      <c r="J10" s="16">
        <v>3</v>
      </c>
      <c r="K10" s="17">
        <v>600</v>
      </c>
      <c r="L10" s="18">
        <v>660</v>
      </c>
      <c r="M10" s="19">
        <f t="shared" si="2"/>
        <v>1.1000000000000001</v>
      </c>
      <c r="N10" s="20">
        <f t="shared" si="3"/>
        <v>220</v>
      </c>
      <c r="O10" s="15">
        <f t="shared" si="4"/>
        <v>6</v>
      </c>
      <c r="P10" s="16">
        <f t="shared" si="4"/>
        <v>6</v>
      </c>
      <c r="Q10" s="17">
        <f t="shared" si="4"/>
        <v>1200</v>
      </c>
      <c r="R10" s="18">
        <f t="shared" si="4"/>
        <v>1335</v>
      </c>
      <c r="S10" s="19">
        <f t="shared" si="5"/>
        <v>1.1125</v>
      </c>
      <c r="T10" s="20">
        <f t="shared" si="6"/>
        <v>222.5</v>
      </c>
    </row>
    <row r="11" spans="2:20" outlineLevel="1">
      <c r="B11" s="14">
        <f t="shared" si="7"/>
        <v>46060</v>
      </c>
      <c r="C11" s="15"/>
      <c r="D11" s="16"/>
      <c r="E11" s="17"/>
      <c r="F11" s="18"/>
      <c r="G11" s="19" t="str">
        <f t="shared" si="0"/>
        <v/>
      </c>
      <c r="H11" s="20" t="str">
        <f t="shared" si="1"/>
        <v/>
      </c>
      <c r="I11" s="15"/>
      <c r="J11" s="16"/>
      <c r="K11" s="17"/>
      <c r="L11" s="18"/>
      <c r="M11" s="19" t="str">
        <f t="shared" si="2"/>
        <v/>
      </c>
      <c r="N11" s="20" t="str">
        <f t="shared" si="3"/>
        <v/>
      </c>
      <c r="O11" s="15" t="str">
        <f t="shared" si="4"/>
        <v/>
      </c>
      <c r="P11" s="16" t="str">
        <f t="shared" si="4"/>
        <v/>
      </c>
      <c r="Q11" s="17" t="str">
        <f t="shared" si="4"/>
        <v/>
      </c>
      <c r="R11" s="18" t="str">
        <f t="shared" si="4"/>
        <v/>
      </c>
      <c r="S11" s="19" t="str">
        <f t="shared" si="5"/>
        <v/>
      </c>
      <c r="T11" s="20" t="str">
        <f t="shared" si="6"/>
        <v/>
      </c>
    </row>
    <row r="12" spans="2:20" outlineLevel="1">
      <c r="B12" s="56">
        <f t="shared" si="7"/>
        <v>46061</v>
      </c>
      <c r="C12" s="57"/>
      <c r="D12" s="58"/>
      <c r="E12" s="59"/>
      <c r="F12" s="60"/>
      <c r="G12" s="61" t="str">
        <f t="shared" si="0"/>
        <v/>
      </c>
      <c r="H12" s="62" t="str">
        <f t="shared" si="1"/>
        <v/>
      </c>
      <c r="I12" s="57"/>
      <c r="J12" s="58"/>
      <c r="K12" s="59"/>
      <c r="L12" s="60"/>
      <c r="M12" s="61" t="str">
        <f t="shared" si="2"/>
        <v/>
      </c>
      <c r="N12" s="62" t="str">
        <f t="shared" si="3"/>
        <v/>
      </c>
      <c r="O12" s="57" t="str">
        <f t="shared" si="4"/>
        <v/>
      </c>
      <c r="P12" s="58" t="str">
        <f t="shared" si="4"/>
        <v/>
      </c>
      <c r="Q12" s="59" t="str">
        <f t="shared" si="4"/>
        <v/>
      </c>
      <c r="R12" s="60" t="str">
        <f t="shared" si="4"/>
        <v/>
      </c>
      <c r="S12" s="61" t="str">
        <f t="shared" si="5"/>
        <v/>
      </c>
      <c r="T12" s="62" t="str">
        <f t="shared" si="6"/>
        <v/>
      </c>
    </row>
    <row r="13" spans="2:20">
      <c r="B13" s="28" t="s">
        <v>12</v>
      </c>
      <c r="C13" s="29">
        <f>IFERROR(AVERAGE(C5:C12),"")</f>
        <v>3</v>
      </c>
      <c r="D13" s="30">
        <f>IFERROR(AVERAGE(D5:D12),"")</f>
        <v>3</v>
      </c>
      <c r="E13" s="31">
        <f>SUM(E5:E12)</f>
        <v>3000</v>
      </c>
      <c r="F13" s="32">
        <f>SUM(F5:F12)</f>
        <v>3165</v>
      </c>
      <c r="G13" s="33">
        <f t="shared" si="0"/>
        <v>1.0549999999999999</v>
      </c>
      <c r="H13" s="34">
        <f>IFERROR(AVERAGE(H5:H12),"")</f>
        <v>211</v>
      </c>
      <c r="I13" s="29">
        <f>IFERROR(AVERAGE(I5:I12),"")</f>
        <v>3</v>
      </c>
      <c r="J13" s="30">
        <f>IFERROR(AVERAGE(J5:J12),"")</f>
        <v>3</v>
      </c>
      <c r="K13" s="31">
        <f>SUM(K5:K12)</f>
        <v>3000</v>
      </c>
      <c r="L13" s="32">
        <f>SUM(L5:L12)</f>
        <v>3270</v>
      </c>
      <c r="M13" s="33">
        <f t="shared" si="2"/>
        <v>1.0900000000000001</v>
      </c>
      <c r="N13" s="34">
        <f>IFERROR(AVERAGE(N5:N12),"")</f>
        <v>218</v>
      </c>
      <c r="O13" s="29">
        <f>IFERROR(AVERAGE(O5:O12),"")</f>
        <v>6</v>
      </c>
      <c r="P13" s="30">
        <f>IFERROR(AVERAGE(P5:P12),"")</f>
        <v>6</v>
      </c>
      <c r="Q13" s="31">
        <f>SUM(Q5:Q12)</f>
        <v>6000</v>
      </c>
      <c r="R13" s="32">
        <f>SUM(R5:R12)</f>
        <v>6435</v>
      </c>
      <c r="S13" s="33">
        <f t="shared" si="5"/>
        <v>1.0725</v>
      </c>
      <c r="T13" s="34">
        <f>IFERROR(AVERAGE(T5:T12),"")</f>
        <v>214.5</v>
      </c>
    </row>
    <row r="14" spans="2:20" outlineLevel="1">
      <c r="B14" s="49">
        <f>+B12+1</f>
        <v>46062</v>
      </c>
      <c r="C14" s="50">
        <v>3</v>
      </c>
      <c r="D14" s="51">
        <v>3</v>
      </c>
      <c r="E14" s="52">
        <v>600</v>
      </c>
      <c r="F14" s="53">
        <v>780</v>
      </c>
      <c r="G14" s="54">
        <f t="shared" si="0"/>
        <v>1.3</v>
      </c>
      <c r="H14" s="55">
        <f t="shared" ref="H14:H20" si="8">IFERROR(F14/D14,"")</f>
        <v>260</v>
      </c>
      <c r="I14" s="50">
        <v>3</v>
      </c>
      <c r="J14" s="51">
        <v>3</v>
      </c>
      <c r="K14" s="52">
        <v>600</v>
      </c>
      <c r="L14" s="53">
        <f>570+270</f>
        <v>840</v>
      </c>
      <c r="M14" s="54">
        <f t="shared" si="2"/>
        <v>1.4</v>
      </c>
      <c r="N14" s="55">
        <f t="shared" ref="N14:N20" si="9">IFERROR(L14/J14,"")</f>
        <v>280</v>
      </c>
      <c r="O14" s="50">
        <f t="shared" ref="O14:R20" si="10">IF((C14+I14)=0,"",(C14+I14))</f>
        <v>6</v>
      </c>
      <c r="P14" s="51">
        <f t="shared" si="10"/>
        <v>6</v>
      </c>
      <c r="Q14" s="52">
        <f t="shared" si="10"/>
        <v>1200</v>
      </c>
      <c r="R14" s="53">
        <f t="shared" si="10"/>
        <v>1620</v>
      </c>
      <c r="S14" s="54">
        <f t="shared" si="5"/>
        <v>1.35</v>
      </c>
      <c r="T14" s="55">
        <f t="shared" ref="T14:T20" si="11">IFERROR(R14/P14,"")</f>
        <v>270</v>
      </c>
    </row>
    <row r="15" spans="2:20" outlineLevel="1">
      <c r="B15" s="14">
        <f t="shared" ref="B15:B20" si="12">+B14+1</f>
        <v>46063</v>
      </c>
      <c r="C15" s="15">
        <v>3</v>
      </c>
      <c r="D15" s="16">
        <v>3</v>
      </c>
      <c r="E15" s="17">
        <v>600</v>
      </c>
      <c r="F15" s="18">
        <v>675</v>
      </c>
      <c r="G15" s="19">
        <f t="shared" si="0"/>
        <v>1.125</v>
      </c>
      <c r="H15" s="20">
        <f t="shared" si="8"/>
        <v>225</v>
      </c>
      <c r="I15" s="15">
        <v>3</v>
      </c>
      <c r="J15" s="16">
        <v>3</v>
      </c>
      <c r="K15" s="17">
        <v>600</v>
      </c>
      <c r="L15" s="18">
        <v>645</v>
      </c>
      <c r="M15" s="19">
        <f t="shared" si="2"/>
        <v>1.075</v>
      </c>
      <c r="N15" s="20">
        <f t="shared" si="9"/>
        <v>215</v>
      </c>
      <c r="O15" s="15">
        <f t="shared" si="10"/>
        <v>6</v>
      </c>
      <c r="P15" s="16">
        <f t="shared" si="10"/>
        <v>6</v>
      </c>
      <c r="Q15" s="17">
        <f t="shared" si="10"/>
        <v>1200</v>
      </c>
      <c r="R15" s="18">
        <f t="shared" si="10"/>
        <v>1320</v>
      </c>
      <c r="S15" s="19">
        <f t="shared" si="5"/>
        <v>1.1000000000000001</v>
      </c>
      <c r="T15" s="20">
        <f t="shared" si="11"/>
        <v>220</v>
      </c>
    </row>
    <row r="16" spans="2:20" outlineLevel="1">
      <c r="B16" s="14">
        <f t="shared" si="12"/>
        <v>46064</v>
      </c>
      <c r="C16" s="15">
        <v>3</v>
      </c>
      <c r="D16" s="16">
        <v>3</v>
      </c>
      <c r="E16" s="17">
        <v>600</v>
      </c>
      <c r="F16" s="18">
        <v>705</v>
      </c>
      <c r="G16" s="19">
        <f t="shared" si="0"/>
        <v>1.175</v>
      </c>
      <c r="H16" s="20">
        <f t="shared" si="8"/>
        <v>235</v>
      </c>
      <c r="I16" s="15">
        <v>3</v>
      </c>
      <c r="J16" s="16">
        <v>3</v>
      </c>
      <c r="K16" s="17">
        <v>600</v>
      </c>
      <c r="L16" s="18">
        <f>90+540</f>
        <v>630</v>
      </c>
      <c r="M16" s="19">
        <f t="shared" si="2"/>
        <v>1.05</v>
      </c>
      <c r="N16" s="20">
        <f t="shared" si="9"/>
        <v>210</v>
      </c>
      <c r="O16" s="15">
        <f t="shared" si="10"/>
        <v>6</v>
      </c>
      <c r="P16" s="16">
        <f t="shared" si="10"/>
        <v>6</v>
      </c>
      <c r="Q16" s="17">
        <f t="shared" si="10"/>
        <v>1200</v>
      </c>
      <c r="R16" s="18">
        <f t="shared" si="10"/>
        <v>1335</v>
      </c>
      <c r="S16" s="19">
        <f t="shared" si="5"/>
        <v>1.1125</v>
      </c>
      <c r="T16" s="20">
        <f t="shared" si="11"/>
        <v>222.5</v>
      </c>
    </row>
    <row r="17" spans="2:20" outlineLevel="1">
      <c r="B17" s="14">
        <f t="shared" si="12"/>
        <v>46065</v>
      </c>
      <c r="C17" s="15">
        <v>3</v>
      </c>
      <c r="D17" s="16">
        <v>3</v>
      </c>
      <c r="E17" s="17">
        <v>600</v>
      </c>
      <c r="F17" s="18">
        <v>450</v>
      </c>
      <c r="G17" s="19">
        <f t="shared" si="0"/>
        <v>0.75</v>
      </c>
      <c r="H17" s="20">
        <f t="shared" si="8"/>
        <v>150</v>
      </c>
      <c r="I17" s="15">
        <v>3</v>
      </c>
      <c r="J17" s="16">
        <v>3</v>
      </c>
      <c r="K17" s="17">
        <v>600</v>
      </c>
      <c r="L17" s="18">
        <v>540</v>
      </c>
      <c r="M17" s="19">
        <f t="shared" si="2"/>
        <v>0.9</v>
      </c>
      <c r="N17" s="20">
        <f t="shared" si="9"/>
        <v>180</v>
      </c>
      <c r="O17" s="15">
        <f t="shared" si="10"/>
        <v>6</v>
      </c>
      <c r="P17" s="16">
        <f t="shared" si="10"/>
        <v>6</v>
      </c>
      <c r="Q17" s="17">
        <f t="shared" si="10"/>
        <v>1200</v>
      </c>
      <c r="R17" s="18">
        <f t="shared" si="10"/>
        <v>990</v>
      </c>
      <c r="S17" s="19">
        <f t="shared" si="5"/>
        <v>0.82499999999999996</v>
      </c>
      <c r="T17" s="20">
        <f t="shared" si="11"/>
        <v>165</v>
      </c>
    </row>
    <row r="18" spans="2:20" outlineLevel="1">
      <c r="B18" s="14">
        <f t="shared" si="12"/>
        <v>46066</v>
      </c>
      <c r="C18" s="15">
        <v>3</v>
      </c>
      <c r="D18" s="16">
        <v>3</v>
      </c>
      <c r="E18" s="17">
        <v>600</v>
      </c>
      <c r="F18" s="18">
        <v>765</v>
      </c>
      <c r="G18" s="19">
        <f t="shared" si="0"/>
        <v>1.2749999999999999</v>
      </c>
      <c r="H18" s="20">
        <f t="shared" si="8"/>
        <v>255</v>
      </c>
      <c r="I18" s="15">
        <v>3</v>
      </c>
      <c r="J18" s="16">
        <v>3</v>
      </c>
      <c r="K18" s="17">
        <v>600</v>
      </c>
      <c r="L18" s="18">
        <v>510</v>
      </c>
      <c r="M18" s="19">
        <f t="shared" si="2"/>
        <v>0.85</v>
      </c>
      <c r="N18" s="20">
        <f t="shared" si="9"/>
        <v>170</v>
      </c>
      <c r="O18" s="15">
        <f t="shared" si="10"/>
        <v>6</v>
      </c>
      <c r="P18" s="16">
        <f t="shared" si="10"/>
        <v>6</v>
      </c>
      <c r="Q18" s="17">
        <f t="shared" si="10"/>
        <v>1200</v>
      </c>
      <c r="R18" s="18">
        <f t="shared" si="10"/>
        <v>1275</v>
      </c>
      <c r="S18" s="19">
        <f t="shared" si="5"/>
        <v>1.0625</v>
      </c>
      <c r="T18" s="20">
        <f t="shared" si="11"/>
        <v>212.5</v>
      </c>
    </row>
    <row r="19" spans="2:20" outlineLevel="1">
      <c r="B19" s="14">
        <f t="shared" si="12"/>
        <v>46067</v>
      </c>
      <c r="C19" s="15">
        <v>3</v>
      </c>
      <c r="D19" s="16">
        <v>3</v>
      </c>
      <c r="E19" s="17">
        <v>600</v>
      </c>
      <c r="F19" s="18">
        <v>600</v>
      </c>
      <c r="G19" s="19">
        <f t="shared" si="0"/>
        <v>1</v>
      </c>
      <c r="H19" s="20">
        <f t="shared" si="8"/>
        <v>200</v>
      </c>
      <c r="I19" s="15">
        <v>3</v>
      </c>
      <c r="J19" s="16">
        <v>3</v>
      </c>
      <c r="K19" s="17">
        <v>600</v>
      </c>
      <c r="L19" s="18">
        <v>225</v>
      </c>
      <c r="M19" s="19">
        <f t="shared" si="2"/>
        <v>0.375</v>
      </c>
      <c r="N19" s="20">
        <f t="shared" si="9"/>
        <v>75</v>
      </c>
      <c r="O19" s="15">
        <f t="shared" si="10"/>
        <v>6</v>
      </c>
      <c r="P19" s="16">
        <f t="shared" si="10"/>
        <v>6</v>
      </c>
      <c r="Q19" s="17">
        <f t="shared" si="10"/>
        <v>1200</v>
      </c>
      <c r="R19" s="18">
        <f t="shared" si="10"/>
        <v>825</v>
      </c>
      <c r="S19" s="19">
        <f t="shared" si="5"/>
        <v>0.6875</v>
      </c>
      <c r="T19" s="20">
        <f t="shared" si="11"/>
        <v>137.5</v>
      </c>
    </row>
    <row r="20" spans="2:20" outlineLevel="1">
      <c r="B20" s="56">
        <f t="shared" si="12"/>
        <v>46068</v>
      </c>
      <c r="C20" s="57"/>
      <c r="D20" s="58"/>
      <c r="E20" s="59"/>
      <c r="F20" s="60"/>
      <c r="G20" s="61" t="str">
        <f t="shared" si="0"/>
        <v/>
      </c>
      <c r="H20" s="62" t="str">
        <f t="shared" si="8"/>
        <v/>
      </c>
      <c r="I20" s="57"/>
      <c r="J20" s="58"/>
      <c r="K20" s="59"/>
      <c r="L20" s="60"/>
      <c r="M20" s="61" t="str">
        <f t="shared" si="2"/>
        <v/>
      </c>
      <c r="N20" s="62" t="str">
        <f t="shared" si="9"/>
        <v/>
      </c>
      <c r="O20" s="57" t="str">
        <f t="shared" si="10"/>
        <v/>
      </c>
      <c r="P20" s="58" t="str">
        <f t="shared" si="10"/>
        <v/>
      </c>
      <c r="Q20" s="59" t="str">
        <f t="shared" si="10"/>
        <v/>
      </c>
      <c r="R20" s="60" t="str">
        <f t="shared" si="10"/>
        <v/>
      </c>
      <c r="S20" s="61" t="str">
        <f t="shared" si="5"/>
        <v/>
      </c>
      <c r="T20" s="62" t="str">
        <f t="shared" si="11"/>
        <v/>
      </c>
    </row>
    <row r="21" spans="2:20">
      <c r="B21" s="28" t="s">
        <v>13</v>
      </c>
      <c r="C21" s="29">
        <f>IFERROR(AVERAGE(C14:C20),"")</f>
        <v>3</v>
      </c>
      <c r="D21" s="30">
        <f>IFERROR(AVERAGE(D14:D20),"")</f>
        <v>3</v>
      </c>
      <c r="E21" s="31">
        <f>SUM(E14:E20)</f>
        <v>3600</v>
      </c>
      <c r="F21" s="32">
        <f>SUM(F14:F20)</f>
        <v>3975</v>
      </c>
      <c r="G21" s="33">
        <f t="shared" si="0"/>
        <v>1.1041666666666667</v>
      </c>
      <c r="H21" s="34">
        <f>IFERROR(AVERAGE(H14:H20),"")</f>
        <v>220.83333333333334</v>
      </c>
      <c r="I21" s="29">
        <f>IFERROR(AVERAGE(I14:I20),"")</f>
        <v>3</v>
      </c>
      <c r="J21" s="30">
        <f>IFERROR(AVERAGE(J14:J20),"")</f>
        <v>3</v>
      </c>
      <c r="K21" s="31">
        <f>SUM(K14:K20)</f>
        <v>3600</v>
      </c>
      <c r="L21" s="32">
        <f>SUM(L14:L20)</f>
        <v>3390</v>
      </c>
      <c r="M21" s="33">
        <f t="shared" si="2"/>
        <v>0.94166666666666665</v>
      </c>
      <c r="N21" s="34">
        <f>IFERROR(AVERAGE(N14:N20),"")</f>
        <v>188.33333333333334</v>
      </c>
      <c r="O21" s="29">
        <f>IFERROR(AVERAGE(O14:O20),"")</f>
        <v>6</v>
      </c>
      <c r="P21" s="30">
        <f>IFERROR(AVERAGE(P14:P20),"")</f>
        <v>6</v>
      </c>
      <c r="Q21" s="31">
        <f>SUM(Q14:Q20)</f>
        <v>7200</v>
      </c>
      <c r="R21" s="32">
        <f>SUM(R14:R20)</f>
        <v>7365</v>
      </c>
      <c r="S21" s="33">
        <f t="shared" si="5"/>
        <v>1.0229166666666667</v>
      </c>
      <c r="T21" s="34">
        <f>IFERROR(AVERAGE(T14:T20),"")</f>
        <v>204.58333333333334</v>
      </c>
    </row>
    <row r="22" spans="2:20" outlineLevel="1">
      <c r="B22" s="49">
        <f>+B20+1</f>
        <v>46069</v>
      </c>
      <c r="C22" s="50"/>
      <c r="D22" s="51"/>
      <c r="E22" s="52"/>
      <c r="F22" s="53"/>
      <c r="G22" s="54" t="str">
        <f t="shared" si="0"/>
        <v/>
      </c>
      <c r="H22" s="55" t="str">
        <f t="shared" ref="H22:H28" si="13">IFERROR(F22/D22,"")</f>
        <v/>
      </c>
      <c r="I22" s="50"/>
      <c r="J22" s="51"/>
      <c r="K22" s="52"/>
      <c r="L22" s="53"/>
      <c r="M22" s="54" t="str">
        <f t="shared" si="2"/>
        <v/>
      </c>
      <c r="N22" s="55" t="str">
        <f t="shared" ref="N22:N28" si="14">IFERROR(L22/J22,"")</f>
        <v/>
      </c>
      <c r="O22" s="50" t="str">
        <f t="shared" ref="O22:R28" si="15">IF((C22+I22)=0,"",(C22+I22))</f>
        <v/>
      </c>
      <c r="P22" s="51" t="str">
        <f t="shared" si="15"/>
        <v/>
      </c>
      <c r="Q22" s="52" t="str">
        <f t="shared" si="15"/>
        <v/>
      </c>
      <c r="R22" s="53" t="str">
        <f t="shared" si="15"/>
        <v/>
      </c>
      <c r="S22" s="54" t="str">
        <f t="shared" si="5"/>
        <v/>
      </c>
      <c r="T22" s="55" t="str">
        <f t="shared" ref="T22:T28" si="16">IFERROR(R22/P22,"")</f>
        <v/>
      </c>
    </row>
    <row r="23" spans="2:20" outlineLevel="1">
      <c r="B23" s="14">
        <f t="shared" ref="B23:B28" si="17">+B22+1</f>
        <v>46070</v>
      </c>
      <c r="C23" s="15"/>
      <c r="D23" s="16"/>
      <c r="E23" s="17"/>
      <c r="F23" s="18"/>
      <c r="G23" s="19" t="str">
        <f t="shared" si="0"/>
        <v/>
      </c>
      <c r="H23" s="20" t="str">
        <f t="shared" si="13"/>
        <v/>
      </c>
      <c r="I23" s="15"/>
      <c r="J23" s="16"/>
      <c r="K23" s="17"/>
      <c r="L23" s="18"/>
      <c r="M23" s="19" t="str">
        <f t="shared" si="2"/>
        <v/>
      </c>
      <c r="N23" s="20" t="str">
        <f t="shared" si="14"/>
        <v/>
      </c>
      <c r="O23" s="15" t="str">
        <f t="shared" si="15"/>
        <v/>
      </c>
      <c r="P23" s="16" t="str">
        <f t="shared" si="15"/>
        <v/>
      </c>
      <c r="Q23" s="17" t="str">
        <f t="shared" si="15"/>
        <v/>
      </c>
      <c r="R23" s="18" t="str">
        <f t="shared" si="15"/>
        <v/>
      </c>
      <c r="S23" s="19" t="str">
        <f t="shared" si="5"/>
        <v/>
      </c>
      <c r="T23" s="20" t="str">
        <f t="shared" si="16"/>
        <v/>
      </c>
    </row>
    <row r="24" spans="2:20" outlineLevel="1">
      <c r="B24" s="14">
        <f t="shared" si="17"/>
        <v>46071</v>
      </c>
      <c r="C24" s="15"/>
      <c r="D24" s="16"/>
      <c r="E24" s="17"/>
      <c r="F24" s="18"/>
      <c r="G24" s="19" t="str">
        <f t="shared" si="0"/>
        <v/>
      </c>
      <c r="H24" s="20" t="str">
        <f t="shared" si="13"/>
        <v/>
      </c>
      <c r="I24" s="15"/>
      <c r="J24" s="16"/>
      <c r="K24" s="17"/>
      <c r="L24" s="18"/>
      <c r="M24" s="19" t="str">
        <f t="shared" si="2"/>
        <v/>
      </c>
      <c r="N24" s="20" t="str">
        <f t="shared" si="14"/>
        <v/>
      </c>
      <c r="O24" s="15" t="str">
        <f t="shared" si="15"/>
        <v/>
      </c>
      <c r="P24" s="16" t="str">
        <f t="shared" si="15"/>
        <v/>
      </c>
      <c r="Q24" s="17" t="str">
        <f t="shared" si="15"/>
        <v/>
      </c>
      <c r="R24" s="18" t="str">
        <f t="shared" si="15"/>
        <v/>
      </c>
      <c r="S24" s="19" t="str">
        <f t="shared" si="5"/>
        <v/>
      </c>
      <c r="T24" s="20" t="str">
        <f t="shared" si="16"/>
        <v/>
      </c>
    </row>
    <row r="25" spans="2:20" outlineLevel="1">
      <c r="B25" s="14">
        <f t="shared" si="17"/>
        <v>46072</v>
      </c>
      <c r="C25" s="15">
        <v>3</v>
      </c>
      <c r="D25" s="16">
        <v>3</v>
      </c>
      <c r="E25" s="17">
        <v>600</v>
      </c>
      <c r="F25" s="18">
        <v>750</v>
      </c>
      <c r="G25" s="19">
        <f t="shared" si="0"/>
        <v>1.25</v>
      </c>
      <c r="H25" s="20">
        <f t="shared" si="13"/>
        <v>250</v>
      </c>
      <c r="I25" s="15">
        <v>3</v>
      </c>
      <c r="J25" s="16">
        <v>3</v>
      </c>
      <c r="K25" s="17">
        <v>600</v>
      </c>
      <c r="L25" s="18">
        <v>510</v>
      </c>
      <c r="M25" s="19">
        <f t="shared" si="2"/>
        <v>0.85</v>
      </c>
      <c r="N25" s="20">
        <f t="shared" si="14"/>
        <v>170</v>
      </c>
      <c r="O25" s="15">
        <f t="shared" si="15"/>
        <v>6</v>
      </c>
      <c r="P25" s="16">
        <f t="shared" si="15"/>
        <v>6</v>
      </c>
      <c r="Q25" s="17">
        <f t="shared" si="15"/>
        <v>1200</v>
      </c>
      <c r="R25" s="18">
        <f t="shared" si="15"/>
        <v>1260</v>
      </c>
      <c r="S25" s="19">
        <f t="shared" si="5"/>
        <v>1.05</v>
      </c>
      <c r="T25" s="20">
        <f t="shared" si="16"/>
        <v>210</v>
      </c>
    </row>
    <row r="26" spans="2:20" outlineLevel="1">
      <c r="B26" s="14">
        <f t="shared" si="17"/>
        <v>46073</v>
      </c>
      <c r="C26" s="15">
        <v>3</v>
      </c>
      <c r="D26" s="16">
        <v>3</v>
      </c>
      <c r="E26" s="17">
        <v>600</v>
      </c>
      <c r="F26" s="18">
        <v>660</v>
      </c>
      <c r="G26" s="19">
        <f t="shared" si="0"/>
        <v>1.1000000000000001</v>
      </c>
      <c r="H26" s="20">
        <f t="shared" si="13"/>
        <v>220</v>
      </c>
      <c r="I26" s="15">
        <v>3</v>
      </c>
      <c r="J26" s="16">
        <v>3</v>
      </c>
      <c r="K26" s="17">
        <v>600</v>
      </c>
      <c r="L26" s="18">
        <v>675</v>
      </c>
      <c r="M26" s="19">
        <f t="shared" si="2"/>
        <v>1.125</v>
      </c>
      <c r="N26" s="20">
        <f t="shared" si="14"/>
        <v>225</v>
      </c>
      <c r="O26" s="15">
        <f t="shared" si="15"/>
        <v>6</v>
      </c>
      <c r="P26" s="16">
        <f t="shared" si="15"/>
        <v>6</v>
      </c>
      <c r="Q26" s="17">
        <f t="shared" si="15"/>
        <v>1200</v>
      </c>
      <c r="R26" s="18">
        <f t="shared" si="15"/>
        <v>1335</v>
      </c>
      <c r="S26" s="19">
        <f t="shared" si="5"/>
        <v>1.1125</v>
      </c>
      <c r="T26" s="20">
        <f t="shared" si="16"/>
        <v>222.5</v>
      </c>
    </row>
    <row r="27" spans="2:20" outlineLevel="1">
      <c r="B27" s="14">
        <f t="shared" si="17"/>
        <v>46074</v>
      </c>
      <c r="C27" s="15">
        <v>3</v>
      </c>
      <c r="D27" s="16">
        <v>3</v>
      </c>
      <c r="E27" s="17">
        <v>600</v>
      </c>
      <c r="F27" s="18">
        <v>705</v>
      </c>
      <c r="G27" s="19">
        <f t="shared" si="0"/>
        <v>1.175</v>
      </c>
      <c r="H27" s="20">
        <f t="shared" si="13"/>
        <v>235</v>
      </c>
      <c r="I27" s="15"/>
      <c r="J27" s="16"/>
      <c r="K27" s="17"/>
      <c r="L27" s="18"/>
      <c r="M27" s="19" t="str">
        <f t="shared" si="2"/>
        <v/>
      </c>
      <c r="N27" s="20" t="str">
        <f t="shared" si="14"/>
        <v/>
      </c>
      <c r="O27" s="15">
        <f t="shared" si="15"/>
        <v>3</v>
      </c>
      <c r="P27" s="16">
        <f t="shared" si="15"/>
        <v>3</v>
      </c>
      <c r="Q27" s="17">
        <f t="shared" si="15"/>
        <v>600</v>
      </c>
      <c r="R27" s="18">
        <f t="shared" si="15"/>
        <v>705</v>
      </c>
      <c r="S27" s="19">
        <f t="shared" si="5"/>
        <v>1.175</v>
      </c>
      <c r="T27" s="20">
        <f t="shared" si="16"/>
        <v>235</v>
      </c>
    </row>
    <row r="28" spans="2:20" outlineLevel="1">
      <c r="B28" s="56">
        <f t="shared" si="17"/>
        <v>46075</v>
      </c>
      <c r="C28" s="57"/>
      <c r="D28" s="58"/>
      <c r="E28" s="59"/>
      <c r="F28" s="60"/>
      <c r="G28" s="61" t="str">
        <f t="shared" si="0"/>
        <v/>
      </c>
      <c r="H28" s="62" t="str">
        <f t="shared" si="13"/>
        <v/>
      </c>
      <c r="I28" s="57"/>
      <c r="J28" s="58"/>
      <c r="K28" s="59"/>
      <c r="L28" s="60"/>
      <c r="M28" s="61" t="str">
        <f t="shared" si="2"/>
        <v/>
      </c>
      <c r="N28" s="62" t="str">
        <f t="shared" si="14"/>
        <v/>
      </c>
      <c r="O28" s="57" t="str">
        <f t="shared" si="15"/>
        <v/>
      </c>
      <c r="P28" s="58" t="str">
        <f t="shared" si="15"/>
        <v/>
      </c>
      <c r="Q28" s="59" t="str">
        <f t="shared" si="15"/>
        <v/>
      </c>
      <c r="R28" s="60" t="str">
        <f t="shared" si="15"/>
        <v/>
      </c>
      <c r="S28" s="61" t="str">
        <f t="shared" si="5"/>
        <v/>
      </c>
      <c r="T28" s="62" t="str">
        <f t="shared" si="16"/>
        <v/>
      </c>
    </row>
    <row r="29" spans="2:20">
      <c r="B29" s="28" t="s">
        <v>14</v>
      </c>
      <c r="C29" s="29">
        <f>IFERROR(AVERAGE(C22:C28),"")</f>
        <v>3</v>
      </c>
      <c r="D29" s="30">
        <f>IFERROR(AVERAGE(D22:D28),"")</f>
        <v>3</v>
      </c>
      <c r="E29" s="31">
        <f>SUM(E22:E28)</f>
        <v>1800</v>
      </c>
      <c r="F29" s="32">
        <f>SUM(F22:F28)</f>
        <v>2115</v>
      </c>
      <c r="G29" s="33">
        <f t="shared" si="0"/>
        <v>1.175</v>
      </c>
      <c r="H29" s="34">
        <f>IFERROR(AVERAGE(H22:H28),"")</f>
        <v>235</v>
      </c>
      <c r="I29" s="29">
        <f>IFERROR(AVERAGE(I22:I28),"")</f>
        <v>3</v>
      </c>
      <c r="J29" s="30">
        <f>IFERROR(AVERAGE(J22:J28),"")</f>
        <v>3</v>
      </c>
      <c r="K29" s="31">
        <f>SUM(K22:K28)</f>
        <v>1200</v>
      </c>
      <c r="L29" s="32">
        <f>SUM(L22:L28)</f>
        <v>1185</v>
      </c>
      <c r="M29" s="33">
        <f t="shared" si="2"/>
        <v>0.98750000000000004</v>
      </c>
      <c r="N29" s="34">
        <f>IFERROR(AVERAGE(N22:N28),"")</f>
        <v>197.5</v>
      </c>
      <c r="O29" s="29">
        <f>IFERROR(AVERAGE(O22:O28),"")</f>
        <v>5</v>
      </c>
      <c r="P29" s="30">
        <f>IFERROR(AVERAGE(P22:P28),"")</f>
        <v>5</v>
      </c>
      <c r="Q29" s="31">
        <f>SUM(Q22:Q28)</f>
        <v>3000</v>
      </c>
      <c r="R29" s="32">
        <f>SUM(R22:R28)</f>
        <v>3300</v>
      </c>
      <c r="S29" s="33">
        <f t="shared" si="5"/>
        <v>1.1000000000000001</v>
      </c>
      <c r="T29" s="34">
        <f>IFERROR(AVERAGE(T22:T28),"")</f>
        <v>222.5</v>
      </c>
    </row>
    <row r="30" spans="2:20" outlineLevel="1">
      <c r="B30" s="49">
        <f>+B28+1</f>
        <v>46076</v>
      </c>
      <c r="C30" s="50">
        <v>3</v>
      </c>
      <c r="D30" s="51">
        <v>3</v>
      </c>
      <c r="E30" s="52">
        <v>600</v>
      </c>
      <c r="F30" s="53">
        <v>630</v>
      </c>
      <c r="G30" s="54">
        <f t="shared" si="0"/>
        <v>1.05</v>
      </c>
      <c r="H30" s="55">
        <f t="shared" ref="H30:H35" si="18">IFERROR(F30/D30,"")</f>
        <v>210</v>
      </c>
      <c r="I30" s="50">
        <v>3</v>
      </c>
      <c r="J30" s="51">
        <v>3</v>
      </c>
      <c r="K30" s="52">
        <v>600</v>
      </c>
      <c r="L30" s="53">
        <v>690</v>
      </c>
      <c r="M30" s="54">
        <f t="shared" si="2"/>
        <v>1.1499999999999999</v>
      </c>
      <c r="N30" s="55">
        <f t="shared" ref="N30:N35" si="19">IFERROR(L30/J30,"")</f>
        <v>230</v>
      </c>
      <c r="O30" s="50">
        <f t="shared" ref="O30:R35" si="20">IF((C30+I30)=0,"",(C30+I30))</f>
        <v>6</v>
      </c>
      <c r="P30" s="51">
        <f t="shared" si="20"/>
        <v>6</v>
      </c>
      <c r="Q30" s="52">
        <f t="shared" si="20"/>
        <v>1200</v>
      </c>
      <c r="R30" s="53">
        <f t="shared" si="20"/>
        <v>1320</v>
      </c>
      <c r="S30" s="54">
        <f t="shared" si="5"/>
        <v>1.1000000000000001</v>
      </c>
      <c r="T30" s="55">
        <f t="shared" ref="T30:T35" si="21">IFERROR(R30/P30,"")</f>
        <v>220</v>
      </c>
    </row>
    <row r="31" spans="2:20" outlineLevel="1">
      <c r="B31" s="14">
        <f>+B30+1</f>
        <v>46077</v>
      </c>
      <c r="C31" s="15">
        <v>3</v>
      </c>
      <c r="D31" s="16">
        <v>3</v>
      </c>
      <c r="E31" s="17">
        <v>600</v>
      </c>
      <c r="F31" s="18">
        <v>840</v>
      </c>
      <c r="G31" s="19">
        <f t="shared" si="0"/>
        <v>1.4</v>
      </c>
      <c r="H31" s="20">
        <f t="shared" si="18"/>
        <v>280</v>
      </c>
      <c r="I31" s="15">
        <v>3</v>
      </c>
      <c r="J31" s="16">
        <v>3</v>
      </c>
      <c r="K31" s="17">
        <v>600</v>
      </c>
      <c r="L31" s="18">
        <v>525</v>
      </c>
      <c r="M31" s="19">
        <f t="shared" si="2"/>
        <v>0.875</v>
      </c>
      <c r="N31" s="20">
        <f t="shared" si="19"/>
        <v>175</v>
      </c>
      <c r="O31" s="15">
        <f t="shared" si="20"/>
        <v>6</v>
      </c>
      <c r="P31" s="16">
        <f t="shared" si="20"/>
        <v>6</v>
      </c>
      <c r="Q31" s="17">
        <f t="shared" si="20"/>
        <v>1200</v>
      </c>
      <c r="R31" s="18">
        <f t="shared" si="20"/>
        <v>1365</v>
      </c>
      <c r="S31" s="19">
        <f t="shared" si="5"/>
        <v>1.1375</v>
      </c>
      <c r="T31" s="20">
        <f t="shared" si="21"/>
        <v>227.5</v>
      </c>
    </row>
    <row r="32" spans="2:20" outlineLevel="1">
      <c r="B32" s="14">
        <f>+B31+1</f>
        <v>46078</v>
      </c>
      <c r="C32" s="15">
        <v>3</v>
      </c>
      <c r="D32" s="16">
        <v>3</v>
      </c>
      <c r="E32" s="17">
        <v>600</v>
      </c>
      <c r="F32" s="18">
        <v>660</v>
      </c>
      <c r="G32" s="19">
        <f t="shared" si="0"/>
        <v>1.1000000000000001</v>
      </c>
      <c r="H32" s="20">
        <f t="shared" si="18"/>
        <v>220</v>
      </c>
      <c r="I32" s="15">
        <v>3</v>
      </c>
      <c r="J32" s="16">
        <v>3</v>
      </c>
      <c r="K32" s="17">
        <v>600</v>
      </c>
      <c r="L32" s="18">
        <v>690</v>
      </c>
      <c r="M32" s="19">
        <f t="shared" si="2"/>
        <v>1.1499999999999999</v>
      </c>
      <c r="N32" s="20">
        <f t="shared" si="19"/>
        <v>230</v>
      </c>
      <c r="O32" s="15">
        <f t="shared" si="20"/>
        <v>6</v>
      </c>
      <c r="P32" s="16">
        <f t="shared" si="20"/>
        <v>6</v>
      </c>
      <c r="Q32" s="17">
        <f t="shared" si="20"/>
        <v>1200</v>
      </c>
      <c r="R32" s="18">
        <f t="shared" si="20"/>
        <v>1350</v>
      </c>
      <c r="S32" s="19">
        <f t="shared" si="5"/>
        <v>1.125</v>
      </c>
      <c r="T32" s="20">
        <f t="shared" si="21"/>
        <v>225</v>
      </c>
    </row>
    <row r="33" spans="2:20" outlineLevel="1">
      <c r="B33" s="14">
        <f>+B32+1</f>
        <v>46079</v>
      </c>
      <c r="C33" s="15">
        <v>3</v>
      </c>
      <c r="D33" s="16">
        <v>3</v>
      </c>
      <c r="E33" s="17">
        <v>600</v>
      </c>
      <c r="F33" s="18">
        <v>660</v>
      </c>
      <c r="G33" s="19">
        <f t="shared" si="0"/>
        <v>1.1000000000000001</v>
      </c>
      <c r="H33" s="20">
        <f t="shared" si="18"/>
        <v>220</v>
      </c>
      <c r="I33" s="15">
        <v>3</v>
      </c>
      <c r="J33" s="16">
        <v>3</v>
      </c>
      <c r="K33" s="17">
        <v>600</v>
      </c>
      <c r="L33" s="18">
        <v>690</v>
      </c>
      <c r="M33" s="19">
        <f t="shared" si="2"/>
        <v>1.1499999999999999</v>
      </c>
      <c r="N33" s="20">
        <f t="shared" si="19"/>
        <v>230</v>
      </c>
      <c r="O33" s="15">
        <f t="shared" si="20"/>
        <v>6</v>
      </c>
      <c r="P33" s="16">
        <f t="shared" si="20"/>
        <v>6</v>
      </c>
      <c r="Q33" s="17">
        <f t="shared" si="20"/>
        <v>1200</v>
      </c>
      <c r="R33" s="18">
        <f t="shared" si="20"/>
        <v>1350</v>
      </c>
      <c r="S33" s="19">
        <f t="shared" si="5"/>
        <v>1.125</v>
      </c>
      <c r="T33" s="20">
        <f t="shared" si="21"/>
        <v>225</v>
      </c>
    </row>
    <row r="34" spans="2:20" outlineLevel="1">
      <c r="B34" s="14">
        <f>+B33+1</f>
        <v>46080</v>
      </c>
      <c r="C34" s="15">
        <v>3</v>
      </c>
      <c r="D34" s="16">
        <v>3</v>
      </c>
      <c r="E34" s="17">
        <v>600</v>
      </c>
      <c r="F34" s="18">
        <v>615</v>
      </c>
      <c r="G34" s="19">
        <f t="shared" si="0"/>
        <v>1.0249999999999999</v>
      </c>
      <c r="H34" s="20">
        <f t="shared" si="18"/>
        <v>205</v>
      </c>
      <c r="I34" s="15">
        <v>3</v>
      </c>
      <c r="J34" s="16">
        <v>3</v>
      </c>
      <c r="K34" s="17">
        <v>600</v>
      </c>
      <c r="L34" s="18">
        <v>690</v>
      </c>
      <c r="M34" s="19">
        <f t="shared" si="2"/>
        <v>1.1499999999999999</v>
      </c>
      <c r="N34" s="20">
        <f t="shared" si="19"/>
        <v>230</v>
      </c>
      <c r="O34" s="15">
        <f t="shared" si="20"/>
        <v>6</v>
      </c>
      <c r="P34" s="16">
        <f t="shared" si="20"/>
        <v>6</v>
      </c>
      <c r="Q34" s="17">
        <f t="shared" si="20"/>
        <v>1200</v>
      </c>
      <c r="R34" s="18">
        <f t="shared" si="20"/>
        <v>1305</v>
      </c>
      <c r="S34" s="19">
        <f t="shared" si="5"/>
        <v>1.0874999999999999</v>
      </c>
      <c r="T34" s="20">
        <f t="shared" si="21"/>
        <v>217.5</v>
      </c>
    </row>
    <row r="35" spans="2:20" outlineLevel="1">
      <c r="B35" s="56">
        <f>+B34+1</f>
        <v>46081</v>
      </c>
      <c r="C35" s="57"/>
      <c r="D35" s="58"/>
      <c r="E35" s="59"/>
      <c r="F35" s="60"/>
      <c r="G35" s="61" t="str">
        <f t="shared" si="0"/>
        <v/>
      </c>
      <c r="H35" s="62" t="str">
        <f t="shared" si="18"/>
        <v/>
      </c>
      <c r="I35" s="57"/>
      <c r="J35" s="58"/>
      <c r="K35" s="59"/>
      <c r="L35" s="60"/>
      <c r="M35" s="61" t="str">
        <f t="shared" si="2"/>
        <v/>
      </c>
      <c r="N35" s="62" t="str">
        <f t="shared" si="19"/>
        <v/>
      </c>
      <c r="O35" s="57" t="str">
        <f t="shared" si="20"/>
        <v/>
      </c>
      <c r="P35" s="58" t="str">
        <f t="shared" si="20"/>
        <v/>
      </c>
      <c r="Q35" s="59" t="str">
        <f t="shared" si="20"/>
        <v/>
      </c>
      <c r="R35" s="60" t="str">
        <f t="shared" si="20"/>
        <v/>
      </c>
      <c r="S35" s="61" t="str">
        <f t="shared" si="5"/>
        <v/>
      </c>
      <c r="T35" s="62" t="str">
        <f t="shared" si="21"/>
        <v/>
      </c>
    </row>
    <row r="36" spans="2:20">
      <c r="B36" s="28" t="s">
        <v>15</v>
      </c>
      <c r="C36" s="29">
        <f>IFERROR(AVERAGE(C30:C35),"")</f>
        <v>3</v>
      </c>
      <c r="D36" s="30">
        <f>IFERROR(AVERAGE(D30:D35),"")</f>
        <v>3</v>
      </c>
      <c r="E36" s="31">
        <f>SUM(E30:E35)</f>
        <v>3000</v>
      </c>
      <c r="F36" s="32">
        <f>SUM(F30:F35)</f>
        <v>3405</v>
      </c>
      <c r="G36" s="33">
        <f t="shared" si="0"/>
        <v>1.135</v>
      </c>
      <c r="H36" s="34">
        <f>IFERROR(AVERAGE(H30:H35),"")</f>
        <v>227</v>
      </c>
      <c r="I36" s="29">
        <f>IFERROR(AVERAGE(I30:I35),"")</f>
        <v>3</v>
      </c>
      <c r="J36" s="30">
        <f>IFERROR(AVERAGE(J30:J35),"")</f>
        <v>3</v>
      </c>
      <c r="K36" s="31">
        <f>SUM(K30:K35)</f>
        <v>3000</v>
      </c>
      <c r="L36" s="32">
        <f>SUM(L30:L35)</f>
        <v>3285</v>
      </c>
      <c r="M36" s="33">
        <f t="shared" si="2"/>
        <v>1.095</v>
      </c>
      <c r="N36" s="34">
        <f>IFERROR(AVERAGE(N30:N35),"")</f>
        <v>219</v>
      </c>
      <c r="O36" s="29">
        <f>IFERROR(AVERAGE(O30:O35),"")</f>
        <v>6</v>
      </c>
      <c r="P36" s="30">
        <f>IFERROR(AVERAGE(P30:P35),"")</f>
        <v>6</v>
      </c>
      <c r="Q36" s="31">
        <f>SUM(Q30:Q35)</f>
        <v>6000</v>
      </c>
      <c r="R36" s="32">
        <f>SUM(R30:R35)</f>
        <v>6690</v>
      </c>
      <c r="S36" s="33">
        <f t="shared" si="5"/>
        <v>1.115</v>
      </c>
      <c r="T36" s="34">
        <f>IFERROR(AVERAGE(T30:T35),"")</f>
        <v>223</v>
      </c>
    </row>
    <row r="37" spans="2:20" ht="13.5" customHeight="1" thickBot="1">
      <c r="B37" s="35" t="s">
        <v>16</v>
      </c>
      <c r="C37" s="36">
        <f>IFERROR(AVERAGE(C13,C21,C29,C36),"")</f>
        <v>3</v>
      </c>
      <c r="D37" s="37">
        <f>IFERROR(AVERAGE(D13,D21,D29,D36),"")</f>
        <v>3</v>
      </c>
      <c r="E37" s="38">
        <f>SUM(E13,E21,E29,E36)</f>
        <v>11400</v>
      </c>
      <c r="F37" s="39">
        <f>SUM(F13,F21,F29,F36)</f>
        <v>12660</v>
      </c>
      <c r="G37" s="40">
        <f t="shared" si="0"/>
        <v>1.1105263157894736</v>
      </c>
      <c r="H37" s="41">
        <f>IFERROR(AVERAGE(H13,H21,H29,H36),"")</f>
        <v>223.45833333333334</v>
      </c>
      <c r="I37" s="36">
        <f>IFERROR(AVERAGE(I13,I21,I29,I36),"")</f>
        <v>3</v>
      </c>
      <c r="J37" s="37">
        <f>IFERROR(AVERAGE(J13,J21,J29,J36),"")</f>
        <v>3</v>
      </c>
      <c r="K37" s="38">
        <f>SUM(K13,K21,K29,K36)</f>
        <v>10800</v>
      </c>
      <c r="L37" s="39">
        <f>SUM(L13,L21,L29,L36)</f>
        <v>11130</v>
      </c>
      <c r="M37" s="40">
        <f t="shared" si="2"/>
        <v>1.0305555555555554</v>
      </c>
      <c r="N37" s="41">
        <f>IFERROR(AVERAGE(N13,N21,N29,N36),"")</f>
        <v>205.70833333333334</v>
      </c>
      <c r="O37" s="36">
        <f>IFERROR(AVERAGE(O13,O21,O29,O36),"")</f>
        <v>5.75</v>
      </c>
      <c r="P37" s="37">
        <f>IFERROR(AVERAGE(P13,P21,P29,P36),"")</f>
        <v>5.75</v>
      </c>
      <c r="Q37" s="38">
        <f>SUM(Q13,Q21,Q29,Q36)</f>
        <v>22200</v>
      </c>
      <c r="R37" s="39">
        <f>SUM(R13,R21,R29,R36)</f>
        <v>23790</v>
      </c>
      <c r="S37" s="40">
        <f t="shared" si="5"/>
        <v>1.0716216216216217</v>
      </c>
      <c r="T37" s="41">
        <f>IFERROR(AVERAGE(T13,T21,T29,T36),"")</f>
        <v>216.14583333333334</v>
      </c>
    </row>
    <row r="42" spans="2:20">
      <c r="F42" s="42"/>
    </row>
  </sheetData>
  <mergeCells count="13">
    <mergeCell ref="T3:T4"/>
    <mergeCell ref="E3:G3"/>
    <mergeCell ref="K3:M3"/>
    <mergeCell ref="C3:D3"/>
    <mergeCell ref="B2:B4"/>
    <mergeCell ref="O2:T2"/>
    <mergeCell ref="O3:P3"/>
    <mergeCell ref="C2:H2"/>
    <mergeCell ref="I2:N2"/>
    <mergeCell ref="I3:J3"/>
    <mergeCell ref="Q3:S3"/>
    <mergeCell ref="N3:N4"/>
    <mergeCell ref="H3:H4"/>
  </mergeCells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46"/>
  <sheetViews>
    <sheetView topLeftCell="A10" workbookViewId="0">
      <selection activeCell="A35" sqref="A35"/>
    </sheetView>
  </sheetViews>
  <sheetFormatPr defaultColWidth="9" defaultRowHeight="12.75" outlineLevelRow="1"/>
  <cols>
    <col min="1" max="1" width="1.5703125" style="1" customWidth="1"/>
    <col min="2" max="2" width="8.28515625" style="1" bestFit="1" customWidth="1"/>
    <col min="3" max="4" width="4.42578125" style="1" customWidth="1"/>
    <col min="5" max="5" width="6.7109375" style="1" customWidth="1"/>
    <col min="6" max="6" width="6.28515625" style="1" customWidth="1"/>
    <col min="7" max="8" width="6" style="1" customWidth="1"/>
    <col min="9" max="10" width="4.42578125" style="1" customWidth="1"/>
    <col min="11" max="11" width="6.7109375" style="1" customWidth="1"/>
    <col min="12" max="12" width="6.28515625" style="1" customWidth="1"/>
    <col min="13" max="14" width="6" style="1" customWidth="1"/>
    <col min="15" max="16" width="4.5703125" style="1" bestFit="1" customWidth="1"/>
    <col min="17" max="17" width="6.7109375" style="1" customWidth="1"/>
    <col min="18" max="18" width="6.28515625" style="1" customWidth="1"/>
    <col min="19" max="20" width="6" style="1" customWidth="1"/>
    <col min="21" max="21" width="1.5703125" style="1" customWidth="1"/>
    <col min="22" max="22" width="9" style="1" customWidth="1"/>
    <col min="23" max="16384" width="9" style="1"/>
  </cols>
  <sheetData>
    <row r="1" spans="2:20" ht="13.5" customHeight="1" thickBot="1"/>
    <row r="2" spans="2:20" ht="13.5" customHeight="1">
      <c r="B2" s="218" t="s">
        <v>0</v>
      </c>
      <c r="C2" s="211" t="s">
        <v>1</v>
      </c>
      <c r="D2" s="212"/>
      <c r="E2" s="212"/>
      <c r="F2" s="212"/>
      <c r="G2" s="212"/>
      <c r="H2" s="213"/>
      <c r="I2" s="211" t="s">
        <v>2</v>
      </c>
      <c r="J2" s="212"/>
      <c r="K2" s="212"/>
      <c r="L2" s="212"/>
      <c r="M2" s="212"/>
      <c r="N2" s="213"/>
      <c r="O2" s="211" t="s">
        <v>3</v>
      </c>
      <c r="P2" s="212"/>
      <c r="Q2" s="212"/>
      <c r="R2" s="212"/>
      <c r="S2" s="212"/>
      <c r="T2" s="213"/>
    </row>
    <row r="3" spans="2:20" ht="13.5" customHeight="1">
      <c r="B3" s="219"/>
      <c r="C3" s="221" t="s">
        <v>4</v>
      </c>
      <c r="D3" s="222"/>
      <c r="E3" s="223" t="s">
        <v>5</v>
      </c>
      <c r="F3" s="224"/>
      <c r="G3" s="222"/>
      <c r="H3" s="225" t="s">
        <v>6</v>
      </c>
      <c r="I3" s="221" t="s">
        <v>4</v>
      </c>
      <c r="J3" s="222"/>
      <c r="K3" s="223" t="s">
        <v>5</v>
      </c>
      <c r="L3" s="224"/>
      <c r="M3" s="222"/>
      <c r="N3" s="225" t="s">
        <v>6</v>
      </c>
      <c r="O3" s="221" t="s">
        <v>4</v>
      </c>
      <c r="P3" s="222"/>
      <c r="Q3" s="223" t="s">
        <v>5</v>
      </c>
      <c r="R3" s="224"/>
      <c r="S3" s="222"/>
      <c r="T3" s="225" t="s">
        <v>6</v>
      </c>
    </row>
    <row r="4" spans="2:20" ht="25.5" customHeight="1">
      <c r="B4" s="220"/>
      <c r="C4" s="44" t="s">
        <v>7</v>
      </c>
      <c r="D4" s="45" t="s">
        <v>8</v>
      </c>
      <c r="E4" s="46" t="s">
        <v>9</v>
      </c>
      <c r="F4" s="47" t="s">
        <v>10</v>
      </c>
      <c r="G4" s="48" t="s">
        <v>11</v>
      </c>
      <c r="H4" s="226"/>
      <c r="I4" s="44" t="s">
        <v>7</v>
      </c>
      <c r="J4" s="45" t="s">
        <v>8</v>
      </c>
      <c r="K4" s="46" t="s">
        <v>9</v>
      </c>
      <c r="L4" s="47" t="s">
        <v>10</v>
      </c>
      <c r="M4" s="48" t="s">
        <v>11</v>
      </c>
      <c r="N4" s="226"/>
      <c r="O4" s="44" t="s">
        <v>7</v>
      </c>
      <c r="P4" s="45" t="s">
        <v>8</v>
      </c>
      <c r="Q4" s="46" t="s">
        <v>9</v>
      </c>
      <c r="R4" s="47" t="s">
        <v>10</v>
      </c>
      <c r="S4" s="48" t="s">
        <v>11</v>
      </c>
      <c r="T4" s="226"/>
    </row>
    <row r="5" spans="2:20" outlineLevel="1">
      <c r="B5" s="49">
        <v>46082</v>
      </c>
      <c r="C5" s="50"/>
      <c r="D5" s="51"/>
      <c r="E5" s="52"/>
      <c r="F5" s="53"/>
      <c r="G5" s="54" t="str">
        <f t="shared" ref="G5:G41" si="0">IFERROR(F5/E5,"")</f>
        <v/>
      </c>
      <c r="H5" s="55" t="str">
        <f t="shared" ref="H5:H12" si="1">IFERROR(F5/D5,"")</f>
        <v/>
      </c>
      <c r="I5" s="50"/>
      <c r="J5" s="51"/>
      <c r="K5" s="52"/>
      <c r="L5" s="53"/>
      <c r="M5" s="54" t="str">
        <f t="shared" ref="M5:M41" si="2">IFERROR(L5/K5,"")</f>
        <v/>
      </c>
      <c r="N5" s="55" t="str">
        <f t="shared" ref="N5:N12" si="3">IFERROR(L5/J5,"")</f>
        <v/>
      </c>
      <c r="O5" s="50" t="str">
        <f t="shared" ref="O5:R12" si="4">IF((C5+I5)=0,"",(C5+I5))</f>
        <v/>
      </c>
      <c r="P5" s="51" t="str">
        <f t="shared" si="4"/>
        <v/>
      </c>
      <c r="Q5" s="52" t="str">
        <f t="shared" si="4"/>
        <v/>
      </c>
      <c r="R5" s="53" t="str">
        <f t="shared" si="4"/>
        <v/>
      </c>
      <c r="S5" s="54" t="str">
        <f t="shared" ref="S5:S41" si="5">IFERROR(R5/Q5,"")</f>
        <v/>
      </c>
      <c r="T5" s="55" t="str">
        <f t="shared" ref="T5:T12" si="6">IFERROR(R5/P5,"")</f>
        <v/>
      </c>
    </row>
    <row r="6" spans="2:20" outlineLevel="1">
      <c r="B6" s="14">
        <f t="shared" ref="B6:B12" si="7">+B5+1</f>
        <v>46083</v>
      </c>
      <c r="C6" s="15"/>
      <c r="D6" s="16"/>
      <c r="E6" s="17"/>
      <c r="F6" s="18"/>
      <c r="G6" s="19" t="str">
        <f t="shared" si="0"/>
        <v/>
      </c>
      <c r="H6" s="20" t="str">
        <f t="shared" si="1"/>
        <v/>
      </c>
      <c r="I6" s="15"/>
      <c r="J6" s="16"/>
      <c r="K6" s="17"/>
      <c r="L6" s="18"/>
      <c r="M6" s="19" t="str">
        <f t="shared" si="2"/>
        <v/>
      </c>
      <c r="N6" s="20" t="str">
        <f t="shared" si="3"/>
        <v/>
      </c>
      <c r="O6" s="15" t="str">
        <f t="shared" si="4"/>
        <v/>
      </c>
      <c r="P6" s="16" t="str">
        <f t="shared" si="4"/>
        <v/>
      </c>
      <c r="Q6" s="17" t="str">
        <f t="shared" si="4"/>
        <v/>
      </c>
      <c r="R6" s="18" t="str">
        <f t="shared" si="4"/>
        <v/>
      </c>
      <c r="S6" s="19" t="str">
        <f t="shared" si="5"/>
        <v/>
      </c>
      <c r="T6" s="20" t="str">
        <f t="shared" si="6"/>
        <v/>
      </c>
    </row>
    <row r="7" spans="2:20" outlineLevel="1">
      <c r="B7" s="14">
        <f t="shared" si="7"/>
        <v>46084</v>
      </c>
      <c r="C7" s="15">
        <v>3</v>
      </c>
      <c r="D7" s="16">
        <v>3</v>
      </c>
      <c r="E7" s="17">
        <v>600</v>
      </c>
      <c r="F7" s="18">
        <v>450</v>
      </c>
      <c r="G7" s="19">
        <f t="shared" si="0"/>
        <v>0.75</v>
      </c>
      <c r="H7" s="20">
        <f t="shared" si="1"/>
        <v>150</v>
      </c>
      <c r="I7" s="15">
        <v>3</v>
      </c>
      <c r="J7" s="16">
        <v>3</v>
      </c>
      <c r="K7" s="17">
        <v>600</v>
      </c>
      <c r="L7" s="18">
        <v>660</v>
      </c>
      <c r="M7" s="19">
        <f t="shared" si="2"/>
        <v>1.1000000000000001</v>
      </c>
      <c r="N7" s="20">
        <f t="shared" si="3"/>
        <v>220</v>
      </c>
      <c r="O7" s="15">
        <f t="shared" si="4"/>
        <v>6</v>
      </c>
      <c r="P7" s="16">
        <f t="shared" si="4"/>
        <v>6</v>
      </c>
      <c r="Q7" s="17">
        <f t="shared" si="4"/>
        <v>1200</v>
      </c>
      <c r="R7" s="18">
        <f t="shared" si="4"/>
        <v>1110</v>
      </c>
      <c r="S7" s="19">
        <f t="shared" si="5"/>
        <v>0.92500000000000004</v>
      </c>
      <c r="T7" s="20">
        <f t="shared" si="6"/>
        <v>185</v>
      </c>
    </row>
    <row r="8" spans="2:20" outlineLevel="1">
      <c r="B8" s="14">
        <f t="shared" si="7"/>
        <v>46085</v>
      </c>
      <c r="C8" s="15">
        <v>3</v>
      </c>
      <c r="D8" s="16">
        <v>3</v>
      </c>
      <c r="E8" s="17">
        <v>600</v>
      </c>
      <c r="F8" s="18">
        <v>615</v>
      </c>
      <c r="G8" s="19">
        <f t="shared" si="0"/>
        <v>1.0249999999999999</v>
      </c>
      <c r="H8" s="20">
        <f t="shared" si="1"/>
        <v>205</v>
      </c>
      <c r="I8" s="15">
        <v>3</v>
      </c>
      <c r="J8" s="16">
        <v>3</v>
      </c>
      <c r="K8" s="17">
        <v>600</v>
      </c>
      <c r="L8" s="18">
        <v>660</v>
      </c>
      <c r="M8" s="19">
        <f t="shared" si="2"/>
        <v>1.1000000000000001</v>
      </c>
      <c r="N8" s="20">
        <f t="shared" si="3"/>
        <v>220</v>
      </c>
      <c r="O8" s="15">
        <f t="shared" si="4"/>
        <v>6</v>
      </c>
      <c r="P8" s="16">
        <f t="shared" si="4"/>
        <v>6</v>
      </c>
      <c r="Q8" s="17">
        <f t="shared" si="4"/>
        <v>1200</v>
      </c>
      <c r="R8" s="18">
        <f t="shared" si="4"/>
        <v>1275</v>
      </c>
      <c r="S8" s="19">
        <f t="shared" si="5"/>
        <v>1.0625</v>
      </c>
      <c r="T8" s="20">
        <f t="shared" si="6"/>
        <v>212.5</v>
      </c>
    </row>
    <row r="9" spans="2:20" outlineLevel="1">
      <c r="B9" s="14">
        <f t="shared" si="7"/>
        <v>46086</v>
      </c>
      <c r="C9" s="15">
        <v>3</v>
      </c>
      <c r="D9" s="16">
        <v>3</v>
      </c>
      <c r="E9" s="17">
        <v>600</v>
      </c>
      <c r="F9" s="18">
        <v>630</v>
      </c>
      <c r="G9" s="19">
        <f t="shared" si="0"/>
        <v>1.05</v>
      </c>
      <c r="H9" s="20">
        <f t="shared" si="1"/>
        <v>210</v>
      </c>
      <c r="I9" s="15">
        <v>3</v>
      </c>
      <c r="J9" s="16">
        <v>3</v>
      </c>
      <c r="K9" s="17">
        <v>600</v>
      </c>
      <c r="L9" s="18">
        <v>675</v>
      </c>
      <c r="M9" s="19">
        <f t="shared" si="2"/>
        <v>1.125</v>
      </c>
      <c r="N9" s="20">
        <f t="shared" si="3"/>
        <v>225</v>
      </c>
      <c r="O9" s="15">
        <f t="shared" si="4"/>
        <v>6</v>
      </c>
      <c r="P9" s="16">
        <f t="shared" si="4"/>
        <v>6</v>
      </c>
      <c r="Q9" s="17">
        <f t="shared" si="4"/>
        <v>1200</v>
      </c>
      <c r="R9" s="18">
        <f t="shared" si="4"/>
        <v>1305</v>
      </c>
      <c r="S9" s="19">
        <f t="shared" si="5"/>
        <v>1.0874999999999999</v>
      </c>
      <c r="T9" s="20">
        <f t="shared" si="6"/>
        <v>217.5</v>
      </c>
    </row>
    <row r="10" spans="2:20" outlineLevel="1">
      <c r="B10" s="14">
        <f t="shared" si="7"/>
        <v>46087</v>
      </c>
      <c r="C10" s="15">
        <v>3</v>
      </c>
      <c r="D10" s="16">
        <v>3</v>
      </c>
      <c r="E10" s="17">
        <v>600</v>
      </c>
      <c r="F10" s="18">
        <v>645</v>
      </c>
      <c r="G10" s="19">
        <f t="shared" si="0"/>
        <v>1.075</v>
      </c>
      <c r="H10" s="20">
        <f t="shared" si="1"/>
        <v>215</v>
      </c>
      <c r="I10" s="15">
        <v>3</v>
      </c>
      <c r="J10" s="16">
        <v>3</v>
      </c>
      <c r="K10" s="17">
        <v>600</v>
      </c>
      <c r="L10" s="18">
        <v>705</v>
      </c>
      <c r="M10" s="19">
        <f t="shared" si="2"/>
        <v>1.175</v>
      </c>
      <c r="N10" s="20">
        <f t="shared" si="3"/>
        <v>235</v>
      </c>
      <c r="O10" s="15">
        <f t="shared" si="4"/>
        <v>6</v>
      </c>
      <c r="P10" s="16">
        <f t="shared" si="4"/>
        <v>6</v>
      </c>
      <c r="Q10" s="17">
        <f t="shared" si="4"/>
        <v>1200</v>
      </c>
      <c r="R10" s="18">
        <f t="shared" si="4"/>
        <v>1350</v>
      </c>
      <c r="S10" s="19">
        <f t="shared" si="5"/>
        <v>1.125</v>
      </c>
      <c r="T10" s="20">
        <f t="shared" si="6"/>
        <v>225</v>
      </c>
    </row>
    <row r="11" spans="2:20" outlineLevel="1">
      <c r="B11" s="14">
        <f t="shared" si="7"/>
        <v>46088</v>
      </c>
      <c r="C11" s="15"/>
      <c r="D11" s="16"/>
      <c r="E11" s="17"/>
      <c r="F11" s="18"/>
      <c r="G11" s="19" t="str">
        <f t="shared" si="0"/>
        <v/>
      </c>
      <c r="H11" s="20" t="str">
        <f t="shared" si="1"/>
        <v/>
      </c>
      <c r="I11" s="15"/>
      <c r="J11" s="16"/>
      <c r="K11" s="17"/>
      <c r="L11" s="18"/>
      <c r="M11" s="19" t="str">
        <f t="shared" si="2"/>
        <v/>
      </c>
      <c r="N11" s="20" t="str">
        <f t="shared" si="3"/>
        <v/>
      </c>
      <c r="O11" s="15" t="str">
        <f t="shared" si="4"/>
        <v/>
      </c>
      <c r="P11" s="16" t="str">
        <f t="shared" si="4"/>
        <v/>
      </c>
      <c r="Q11" s="17" t="str">
        <f t="shared" si="4"/>
        <v/>
      </c>
      <c r="R11" s="18" t="str">
        <f t="shared" si="4"/>
        <v/>
      </c>
      <c r="S11" s="19" t="str">
        <f t="shared" si="5"/>
        <v/>
      </c>
      <c r="T11" s="20" t="str">
        <f t="shared" si="6"/>
        <v/>
      </c>
    </row>
    <row r="12" spans="2:20" outlineLevel="1">
      <c r="B12" s="56">
        <f t="shared" si="7"/>
        <v>46089</v>
      </c>
      <c r="C12" s="57"/>
      <c r="D12" s="58"/>
      <c r="E12" s="59"/>
      <c r="F12" s="60"/>
      <c r="G12" s="61" t="str">
        <f t="shared" si="0"/>
        <v/>
      </c>
      <c r="H12" s="62" t="str">
        <f t="shared" si="1"/>
        <v/>
      </c>
      <c r="I12" s="57"/>
      <c r="J12" s="58"/>
      <c r="K12" s="59"/>
      <c r="L12" s="60"/>
      <c r="M12" s="61" t="str">
        <f t="shared" si="2"/>
        <v/>
      </c>
      <c r="N12" s="62" t="str">
        <f t="shared" si="3"/>
        <v/>
      </c>
      <c r="O12" s="57" t="str">
        <f t="shared" si="4"/>
        <v/>
      </c>
      <c r="P12" s="58" t="str">
        <f t="shared" si="4"/>
        <v/>
      </c>
      <c r="Q12" s="59" t="str">
        <f t="shared" si="4"/>
        <v/>
      </c>
      <c r="R12" s="60" t="str">
        <f t="shared" si="4"/>
        <v/>
      </c>
      <c r="S12" s="61" t="str">
        <f t="shared" si="5"/>
        <v/>
      </c>
      <c r="T12" s="62" t="str">
        <f t="shared" si="6"/>
        <v/>
      </c>
    </row>
    <row r="13" spans="2:20">
      <c r="B13" s="28" t="s">
        <v>12</v>
      </c>
      <c r="C13" s="29">
        <f>IFERROR(AVERAGE(C5:C12),"")</f>
        <v>3</v>
      </c>
      <c r="D13" s="30">
        <f>IFERROR(AVERAGE(D5:D12),"")</f>
        <v>3</v>
      </c>
      <c r="E13" s="31">
        <f>SUM(E5:E12)</f>
        <v>2400</v>
      </c>
      <c r="F13" s="32">
        <f>SUM(F5:F12)</f>
        <v>2340</v>
      </c>
      <c r="G13" s="33">
        <f t="shared" si="0"/>
        <v>0.97499999999999998</v>
      </c>
      <c r="H13" s="34">
        <f>IFERROR(AVERAGE(H5:H12),"")</f>
        <v>195</v>
      </c>
      <c r="I13" s="29">
        <f>IFERROR(AVERAGE(I5:I12),"")</f>
        <v>3</v>
      </c>
      <c r="J13" s="30">
        <f>IFERROR(AVERAGE(J5:J12),"")</f>
        <v>3</v>
      </c>
      <c r="K13" s="31">
        <f>SUM(K5:K12)</f>
        <v>2400</v>
      </c>
      <c r="L13" s="32">
        <f>SUM(L5:L12)</f>
        <v>2700</v>
      </c>
      <c r="M13" s="33">
        <f t="shared" si="2"/>
        <v>1.125</v>
      </c>
      <c r="N13" s="34">
        <f>IFERROR(AVERAGE(N5:N12),"")</f>
        <v>225</v>
      </c>
      <c r="O13" s="29">
        <f>IFERROR(AVERAGE(O5:O12),"")</f>
        <v>6</v>
      </c>
      <c r="P13" s="30">
        <f>IFERROR(AVERAGE(P5:P12),"")</f>
        <v>6</v>
      </c>
      <c r="Q13" s="31">
        <f>SUM(Q5:Q12)</f>
        <v>4800</v>
      </c>
      <c r="R13" s="32">
        <f>SUM(R5:R12)</f>
        <v>5040</v>
      </c>
      <c r="S13" s="33">
        <f t="shared" si="5"/>
        <v>1.05</v>
      </c>
      <c r="T13" s="34">
        <f>IFERROR(AVERAGE(T5:T12),"")</f>
        <v>210</v>
      </c>
    </row>
    <row r="14" spans="2:20" outlineLevel="1">
      <c r="B14" s="49">
        <f>+B12+1</f>
        <v>46090</v>
      </c>
      <c r="C14" s="50">
        <v>3</v>
      </c>
      <c r="D14" s="51">
        <v>3</v>
      </c>
      <c r="E14" s="52">
        <v>600</v>
      </c>
      <c r="F14" s="53">
        <v>675</v>
      </c>
      <c r="G14" s="54">
        <f t="shared" si="0"/>
        <v>1.125</v>
      </c>
      <c r="H14" s="55">
        <f t="shared" ref="H14:H20" si="8">IFERROR(F14/D14,"")</f>
        <v>225</v>
      </c>
      <c r="I14" s="50">
        <v>3</v>
      </c>
      <c r="J14" s="51">
        <v>3</v>
      </c>
      <c r="K14" s="52">
        <v>600</v>
      </c>
      <c r="L14" s="53">
        <v>690</v>
      </c>
      <c r="M14" s="54">
        <f t="shared" si="2"/>
        <v>1.1499999999999999</v>
      </c>
      <c r="N14" s="55">
        <f t="shared" ref="N14:N20" si="9">IFERROR(L14/J14,"")</f>
        <v>230</v>
      </c>
      <c r="O14" s="50">
        <f t="shared" ref="O14:R20" si="10">IF((C14+I14)=0,"",(C14+I14))</f>
        <v>6</v>
      </c>
      <c r="P14" s="51">
        <f t="shared" si="10"/>
        <v>6</v>
      </c>
      <c r="Q14" s="52">
        <f t="shared" si="10"/>
        <v>1200</v>
      </c>
      <c r="R14" s="53">
        <f t="shared" si="10"/>
        <v>1365</v>
      </c>
      <c r="S14" s="54">
        <f t="shared" si="5"/>
        <v>1.1375</v>
      </c>
      <c r="T14" s="55">
        <f t="shared" ref="T14:T20" si="11">IFERROR(R14/P14,"")</f>
        <v>227.5</v>
      </c>
    </row>
    <row r="15" spans="2:20" outlineLevel="1">
      <c r="B15" s="14">
        <f t="shared" ref="B15:B20" si="12">+B14+1</f>
        <v>46091</v>
      </c>
      <c r="C15" s="15">
        <v>3</v>
      </c>
      <c r="D15" s="16">
        <v>3</v>
      </c>
      <c r="E15" s="17">
        <v>600</v>
      </c>
      <c r="F15" s="18">
        <v>705</v>
      </c>
      <c r="G15" s="19">
        <f t="shared" si="0"/>
        <v>1.175</v>
      </c>
      <c r="H15" s="20">
        <f t="shared" si="8"/>
        <v>235</v>
      </c>
      <c r="I15" s="15">
        <v>3</v>
      </c>
      <c r="J15" s="16">
        <v>3</v>
      </c>
      <c r="K15" s="17">
        <v>600</v>
      </c>
      <c r="L15" s="18">
        <v>705</v>
      </c>
      <c r="M15" s="19">
        <f t="shared" si="2"/>
        <v>1.175</v>
      </c>
      <c r="N15" s="20">
        <f t="shared" si="9"/>
        <v>235</v>
      </c>
      <c r="O15" s="15">
        <f t="shared" si="10"/>
        <v>6</v>
      </c>
      <c r="P15" s="16">
        <f t="shared" si="10"/>
        <v>6</v>
      </c>
      <c r="Q15" s="17">
        <f t="shared" si="10"/>
        <v>1200</v>
      </c>
      <c r="R15" s="18">
        <f t="shared" si="10"/>
        <v>1410</v>
      </c>
      <c r="S15" s="19">
        <f t="shared" si="5"/>
        <v>1.175</v>
      </c>
      <c r="T15" s="20">
        <f t="shared" si="11"/>
        <v>235</v>
      </c>
    </row>
    <row r="16" spans="2:20" outlineLevel="1">
      <c r="B16" s="14">
        <f t="shared" si="12"/>
        <v>46092</v>
      </c>
      <c r="C16" s="15">
        <v>3</v>
      </c>
      <c r="D16" s="16">
        <v>3</v>
      </c>
      <c r="E16" s="17">
        <v>600</v>
      </c>
      <c r="F16" s="18">
        <v>675</v>
      </c>
      <c r="G16" s="19">
        <f t="shared" si="0"/>
        <v>1.125</v>
      </c>
      <c r="H16" s="20">
        <f t="shared" si="8"/>
        <v>225</v>
      </c>
      <c r="I16" s="15">
        <v>3</v>
      </c>
      <c r="J16" s="16">
        <v>3</v>
      </c>
      <c r="K16" s="17">
        <v>600</v>
      </c>
      <c r="L16" s="18">
        <v>675</v>
      </c>
      <c r="M16" s="19">
        <f t="shared" si="2"/>
        <v>1.125</v>
      </c>
      <c r="N16" s="20">
        <f t="shared" si="9"/>
        <v>225</v>
      </c>
      <c r="O16" s="15">
        <f t="shared" si="10"/>
        <v>6</v>
      </c>
      <c r="P16" s="16">
        <f t="shared" si="10"/>
        <v>6</v>
      </c>
      <c r="Q16" s="17">
        <f t="shared" si="10"/>
        <v>1200</v>
      </c>
      <c r="R16" s="18">
        <f t="shared" si="10"/>
        <v>1350</v>
      </c>
      <c r="S16" s="19">
        <f t="shared" si="5"/>
        <v>1.125</v>
      </c>
      <c r="T16" s="20">
        <f t="shared" si="11"/>
        <v>225</v>
      </c>
    </row>
    <row r="17" spans="2:20" outlineLevel="1">
      <c r="B17" s="14">
        <f t="shared" si="12"/>
        <v>46093</v>
      </c>
      <c r="C17" s="15">
        <v>3</v>
      </c>
      <c r="D17" s="16">
        <v>3</v>
      </c>
      <c r="E17" s="17">
        <v>600</v>
      </c>
      <c r="F17" s="18">
        <v>675</v>
      </c>
      <c r="G17" s="19">
        <f t="shared" si="0"/>
        <v>1.125</v>
      </c>
      <c r="H17" s="20">
        <f t="shared" si="8"/>
        <v>225</v>
      </c>
      <c r="I17" s="15">
        <v>3</v>
      </c>
      <c r="J17" s="16">
        <v>3</v>
      </c>
      <c r="K17" s="17">
        <v>600</v>
      </c>
      <c r="L17" s="18">
        <v>675</v>
      </c>
      <c r="M17" s="19">
        <f t="shared" si="2"/>
        <v>1.125</v>
      </c>
      <c r="N17" s="20">
        <f t="shared" si="9"/>
        <v>225</v>
      </c>
      <c r="O17" s="15">
        <f t="shared" si="10"/>
        <v>6</v>
      </c>
      <c r="P17" s="16">
        <f t="shared" si="10"/>
        <v>6</v>
      </c>
      <c r="Q17" s="17">
        <f t="shared" si="10"/>
        <v>1200</v>
      </c>
      <c r="R17" s="18">
        <f t="shared" si="10"/>
        <v>1350</v>
      </c>
      <c r="S17" s="19">
        <f t="shared" si="5"/>
        <v>1.125</v>
      </c>
      <c r="T17" s="20">
        <f t="shared" si="11"/>
        <v>225</v>
      </c>
    </row>
    <row r="18" spans="2:20" outlineLevel="1">
      <c r="B18" s="14">
        <f t="shared" si="12"/>
        <v>46094</v>
      </c>
      <c r="C18" s="15">
        <v>3</v>
      </c>
      <c r="D18" s="16">
        <v>3</v>
      </c>
      <c r="E18" s="17">
        <v>600</v>
      </c>
      <c r="F18" s="18">
        <v>600</v>
      </c>
      <c r="G18" s="19">
        <f t="shared" si="0"/>
        <v>1</v>
      </c>
      <c r="H18" s="20">
        <f t="shared" si="8"/>
        <v>200</v>
      </c>
      <c r="I18" s="15">
        <v>3</v>
      </c>
      <c r="J18" s="16">
        <v>3</v>
      </c>
      <c r="K18" s="17">
        <v>600</v>
      </c>
      <c r="L18" s="18">
        <v>615</v>
      </c>
      <c r="M18" s="19">
        <f t="shared" si="2"/>
        <v>1.0249999999999999</v>
      </c>
      <c r="N18" s="20">
        <f t="shared" si="9"/>
        <v>205</v>
      </c>
      <c r="O18" s="15">
        <f t="shared" si="10"/>
        <v>6</v>
      </c>
      <c r="P18" s="16">
        <f t="shared" si="10"/>
        <v>6</v>
      </c>
      <c r="Q18" s="17">
        <f t="shared" si="10"/>
        <v>1200</v>
      </c>
      <c r="R18" s="18">
        <f t="shared" si="10"/>
        <v>1215</v>
      </c>
      <c r="S18" s="19">
        <f t="shared" si="5"/>
        <v>1.0125</v>
      </c>
      <c r="T18" s="20">
        <f t="shared" si="11"/>
        <v>202.5</v>
      </c>
    </row>
    <row r="19" spans="2:20" outlineLevel="1">
      <c r="B19" s="14">
        <f t="shared" si="12"/>
        <v>46095</v>
      </c>
      <c r="C19" s="15">
        <v>3</v>
      </c>
      <c r="D19" s="16">
        <v>3</v>
      </c>
      <c r="E19" s="17">
        <v>600</v>
      </c>
      <c r="F19" s="18">
        <v>660</v>
      </c>
      <c r="G19" s="19">
        <f t="shared" si="0"/>
        <v>1.1000000000000001</v>
      </c>
      <c r="H19" s="20">
        <f t="shared" si="8"/>
        <v>220</v>
      </c>
      <c r="I19" s="15"/>
      <c r="J19" s="16"/>
      <c r="K19" s="17"/>
      <c r="L19" s="18"/>
      <c r="M19" s="19" t="str">
        <f t="shared" si="2"/>
        <v/>
      </c>
      <c r="N19" s="20" t="str">
        <f t="shared" si="9"/>
        <v/>
      </c>
      <c r="O19" s="15">
        <f t="shared" si="10"/>
        <v>3</v>
      </c>
      <c r="P19" s="16">
        <f t="shared" si="10"/>
        <v>3</v>
      </c>
      <c r="Q19" s="17">
        <f t="shared" si="10"/>
        <v>600</v>
      </c>
      <c r="R19" s="18">
        <f t="shared" si="10"/>
        <v>660</v>
      </c>
      <c r="S19" s="19">
        <f t="shared" si="5"/>
        <v>1.1000000000000001</v>
      </c>
      <c r="T19" s="20">
        <f t="shared" si="11"/>
        <v>220</v>
      </c>
    </row>
    <row r="20" spans="2:20" outlineLevel="1">
      <c r="B20" s="56">
        <f t="shared" si="12"/>
        <v>46096</v>
      </c>
      <c r="C20" s="57"/>
      <c r="D20" s="58"/>
      <c r="E20" s="59"/>
      <c r="F20" s="60"/>
      <c r="G20" s="61" t="str">
        <f t="shared" si="0"/>
        <v/>
      </c>
      <c r="H20" s="62" t="str">
        <f t="shared" si="8"/>
        <v/>
      </c>
      <c r="I20" s="57"/>
      <c r="J20" s="58"/>
      <c r="K20" s="59"/>
      <c r="L20" s="60"/>
      <c r="M20" s="61" t="str">
        <f t="shared" si="2"/>
        <v/>
      </c>
      <c r="N20" s="62" t="str">
        <f t="shared" si="9"/>
        <v/>
      </c>
      <c r="O20" s="57" t="str">
        <f t="shared" si="10"/>
        <v/>
      </c>
      <c r="P20" s="58" t="str">
        <f t="shared" si="10"/>
        <v/>
      </c>
      <c r="Q20" s="59" t="str">
        <f t="shared" si="10"/>
        <v/>
      </c>
      <c r="R20" s="60" t="str">
        <f t="shared" si="10"/>
        <v/>
      </c>
      <c r="S20" s="61" t="str">
        <f t="shared" si="5"/>
        <v/>
      </c>
      <c r="T20" s="62" t="str">
        <f t="shared" si="11"/>
        <v/>
      </c>
    </row>
    <row r="21" spans="2:20">
      <c r="B21" s="28" t="s">
        <v>13</v>
      </c>
      <c r="C21" s="29">
        <f>IFERROR(AVERAGE(C14:C20),"")</f>
        <v>3</v>
      </c>
      <c r="D21" s="30">
        <f>IFERROR(AVERAGE(D14:D20),"")</f>
        <v>3</v>
      </c>
      <c r="E21" s="31">
        <f>SUM(E14:E20)</f>
        <v>3600</v>
      </c>
      <c r="F21" s="32">
        <f>SUM(F14:F20)</f>
        <v>3990</v>
      </c>
      <c r="G21" s="33">
        <f t="shared" si="0"/>
        <v>1.1083333333333334</v>
      </c>
      <c r="H21" s="34">
        <f>IFERROR(AVERAGE(H14:H20),"")</f>
        <v>221.66666666666666</v>
      </c>
      <c r="I21" s="29">
        <f>IFERROR(AVERAGE(I14:I20),"")</f>
        <v>3</v>
      </c>
      <c r="J21" s="30">
        <f>IFERROR(AVERAGE(J14:J20),"")</f>
        <v>3</v>
      </c>
      <c r="K21" s="31">
        <f>SUM(K14:K20)</f>
        <v>3000</v>
      </c>
      <c r="L21" s="32">
        <f>SUM(L14:L20)</f>
        <v>3360</v>
      </c>
      <c r="M21" s="33">
        <f t="shared" si="2"/>
        <v>1.1200000000000001</v>
      </c>
      <c r="N21" s="34">
        <f>IFERROR(AVERAGE(N14:N20),"")</f>
        <v>224</v>
      </c>
      <c r="O21" s="29">
        <f>IFERROR(AVERAGE(O14:O20),"")</f>
        <v>5.5</v>
      </c>
      <c r="P21" s="30">
        <f>IFERROR(AVERAGE(P14:P20),"")</f>
        <v>5.5</v>
      </c>
      <c r="Q21" s="31">
        <f>SUM(Q14:Q20)</f>
        <v>6600</v>
      </c>
      <c r="R21" s="32">
        <f>SUM(R14:R20)</f>
        <v>7350</v>
      </c>
      <c r="S21" s="33">
        <f t="shared" si="5"/>
        <v>1.1136363636363635</v>
      </c>
      <c r="T21" s="34">
        <f>IFERROR(AVERAGE(T14:T20),"")</f>
        <v>222.5</v>
      </c>
    </row>
    <row r="22" spans="2:20" outlineLevel="1">
      <c r="B22" s="49">
        <f>+B20+1</f>
        <v>46097</v>
      </c>
      <c r="C22" s="50">
        <v>3</v>
      </c>
      <c r="D22" s="51">
        <v>3</v>
      </c>
      <c r="E22" s="52">
        <v>600</v>
      </c>
      <c r="F22" s="53">
        <v>645</v>
      </c>
      <c r="G22" s="54">
        <f t="shared" si="0"/>
        <v>1.075</v>
      </c>
      <c r="H22" s="55">
        <f t="shared" ref="H22:H28" si="13">IFERROR(F22/D22,"")</f>
        <v>215</v>
      </c>
      <c r="I22" s="50">
        <v>3</v>
      </c>
      <c r="J22" s="51">
        <v>3</v>
      </c>
      <c r="K22" s="52">
        <v>600</v>
      </c>
      <c r="L22" s="53">
        <v>675</v>
      </c>
      <c r="M22" s="54">
        <f t="shared" si="2"/>
        <v>1.125</v>
      </c>
      <c r="N22" s="55">
        <f t="shared" ref="N22:N28" si="14">IFERROR(L22/J22,"")</f>
        <v>225</v>
      </c>
      <c r="O22" s="50">
        <f t="shared" ref="O22:R28" si="15">IF((C22+I22)=0,"",(C22+I22))</f>
        <v>6</v>
      </c>
      <c r="P22" s="51">
        <f t="shared" si="15"/>
        <v>6</v>
      </c>
      <c r="Q22" s="52">
        <f t="shared" si="15"/>
        <v>1200</v>
      </c>
      <c r="R22" s="53">
        <f t="shared" si="15"/>
        <v>1320</v>
      </c>
      <c r="S22" s="54">
        <f t="shared" si="5"/>
        <v>1.1000000000000001</v>
      </c>
      <c r="T22" s="55">
        <f t="shared" ref="T22:T28" si="16">IFERROR(R22/P22,"")</f>
        <v>220</v>
      </c>
    </row>
    <row r="23" spans="2:20" outlineLevel="1">
      <c r="B23" s="14">
        <f t="shared" ref="B23:B28" si="17">+B22+1</f>
        <v>46098</v>
      </c>
      <c r="C23" s="15">
        <v>3</v>
      </c>
      <c r="D23" s="16">
        <v>3</v>
      </c>
      <c r="E23" s="17">
        <v>600</v>
      </c>
      <c r="F23" s="18">
        <v>645</v>
      </c>
      <c r="G23" s="19">
        <f t="shared" si="0"/>
        <v>1.075</v>
      </c>
      <c r="H23" s="20">
        <f t="shared" si="13"/>
        <v>215</v>
      </c>
      <c r="I23" s="15">
        <v>3</v>
      </c>
      <c r="J23" s="16">
        <v>3</v>
      </c>
      <c r="K23" s="17">
        <v>600</v>
      </c>
      <c r="L23" s="18">
        <v>690</v>
      </c>
      <c r="M23" s="19">
        <f t="shared" si="2"/>
        <v>1.1499999999999999</v>
      </c>
      <c r="N23" s="20">
        <f t="shared" si="14"/>
        <v>230</v>
      </c>
      <c r="O23" s="15">
        <f t="shared" si="15"/>
        <v>6</v>
      </c>
      <c r="P23" s="16">
        <f t="shared" si="15"/>
        <v>6</v>
      </c>
      <c r="Q23" s="17">
        <f t="shared" si="15"/>
        <v>1200</v>
      </c>
      <c r="R23" s="18">
        <f t="shared" si="15"/>
        <v>1335</v>
      </c>
      <c r="S23" s="19">
        <f t="shared" si="5"/>
        <v>1.1125</v>
      </c>
      <c r="T23" s="20">
        <f t="shared" si="16"/>
        <v>222.5</v>
      </c>
    </row>
    <row r="24" spans="2:20" outlineLevel="1">
      <c r="B24" s="14">
        <f t="shared" si="17"/>
        <v>46099</v>
      </c>
      <c r="C24" s="15">
        <v>3</v>
      </c>
      <c r="D24" s="16">
        <v>3</v>
      </c>
      <c r="E24" s="17">
        <v>600</v>
      </c>
      <c r="F24" s="18">
        <v>690</v>
      </c>
      <c r="G24" s="19">
        <f t="shared" si="0"/>
        <v>1.1499999999999999</v>
      </c>
      <c r="H24" s="20">
        <f t="shared" si="13"/>
        <v>230</v>
      </c>
      <c r="I24" s="15">
        <v>3</v>
      </c>
      <c r="J24" s="16">
        <v>3</v>
      </c>
      <c r="K24" s="17">
        <v>600</v>
      </c>
      <c r="L24" s="18">
        <v>705</v>
      </c>
      <c r="M24" s="19">
        <f t="shared" si="2"/>
        <v>1.175</v>
      </c>
      <c r="N24" s="20">
        <f t="shared" si="14"/>
        <v>235</v>
      </c>
      <c r="O24" s="15">
        <f t="shared" si="15"/>
        <v>6</v>
      </c>
      <c r="P24" s="16">
        <f t="shared" si="15"/>
        <v>6</v>
      </c>
      <c r="Q24" s="17">
        <f t="shared" si="15"/>
        <v>1200</v>
      </c>
      <c r="R24" s="18">
        <f t="shared" si="15"/>
        <v>1395</v>
      </c>
      <c r="S24" s="19">
        <f t="shared" si="5"/>
        <v>1.1625000000000001</v>
      </c>
      <c r="T24" s="20">
        <f t="shared" si="16"/>
        <v>232.5</v>
      </c>
    </row>
    <row r="25" spans="2:20" outlineLevel="1">
      <c r="B25" s="14">
        <f t="shared" si="17"/>
        <v>46100</v>
      </c>
      <c r="C25" s="15">
        <v>3</v>
      </c>
      <c r="D25" s="16">
        <v>3</v>
      </c>
      <c r="E25" s="17">
        <v>600</v>
      </c>
      <c r="F25" s="18">
        <v>600</v>
      </c>
      <c r="G25" s="19">
        <f t="shared" si="0"/>
        <v>1</v>
      </c>
      <c r="H25" s="20">
        <f t="shared" si="13"/>
        <v>200</v>
      </c>
      <c r="I25" s="15">
        <v>3</v>
      </c>
      <c r="J25" s="16">
        <v>3</v>
      </c>
      <c r="K25" s="17">
        <v>600</v>
      </c>
      <c r="L25" s="18">
        <v>750</v>
      </c>
      <c r="M25" s="19">
        <f t="shared" si="2"/>
        <v>1.25</v>
      </c>
      <c r="N25" s="20">
        <f t="shared" si="14"/>
        <v>250</v>
      </c>
      <c r="O25" s="15">
        <f t="shared" si="15"/>
        <v>6</v>
      </c>
      <c r="P25" s="16">
        <f t="shared" si="15"/>
        <v>6</v>
      </c>
      <c r="Q25" s="17">
        <f t="shared" si="15"/>
        <v>1200</v>
      </c>
      <c r="R25" s="18">
        <f t="shared" si="15"/>
        <v>1350</v>
      </c>
      <c r="S25" s="19">
        <f t="shared" si="5"/>
        <v>1.125</v>
      </c>
      <c r="T25" s="20">
        <f t="shared" si="16"/>
        <v>225</v>
      </c>
    </row>
    <row r="26" spans="2:20" outlineLevel="1">
      <c r="B26" s="14">
        <f t="shared" si="17"/>
        <v>46101</v>
      </c>
      <c r="C26" s="15">
        <v>3</v>
      </c>
      <c r="D26" s="16">
        <v>3</v>
      </c>
      <c r="E26" s="17">
        <v>600</v>
      </c>
      <c r="F26" s="18">
        <v>45</v>
      </c>
      <c r="G26" s="19">
        <f t="shared" si="0"/>
        <v>7.4999999999999997E-2</v>
      </c>
      <c r="H26" s="20">
        <f t="shared" si="13"/>
        <v>15</v>
      </c>
      <c r="I26" s="15">
        <v>3</v>
      </c>
      <c r="J26" s="16">
        <v>3</v>
      </c>
      <c r="K26" s="17">
        <v>600</v>
      </c>
      <c r="L26" s="18">
        <v>630</v>
      </c>
      <c r="M26" s="19">
        <f t="shared" si="2"/>
        <v>1.05</v>
      </c>
      <c r="N26" s="20">
        <f t="shared" si="14"/>
        <v>210</v>
      </c>
      <c r="O26" s="15">
        <f t="shared" si="15"/>
        <v>6</v>
      </c>
      <c r="P26" s="16">
        <f t="shared" si="15"/>
        <v>6</v>
      </c>
      <c r="Q26" s="17">
        <f t="shared" si="15"/>
        <v>1200</v>
      </c>
      <c r="R26" s="18">
        <f t="shared" si="15"/>
        <v>675</v>
      </c>
      <c r="S26" s="19">
        <f t="shared" si="5"/>
        <v>0.5625</v>
      </c>
      <c r="T26" s="20">
        <f t="shared" si="16"/>
        <v>112.5</v>
      </c>
    </row>
    <row r="27" spans="2:20" outlineLevel="1">
      <c r="B27" s="14">
        <f t="shared" si="17"/>
        <v>46102</v>
      </c>
      <c r="C27" s="15"/>
      <c r="D27" s="16"/>
      <c r="E27" s="17"/>
      <c r="F27" s="18"/>
      <c r="G27" s="19" t="str">
        <f t="shared" si="0"/>
        <v/>
      </c>
      <c r="H27" s="20" t="str">
        <f t="shared" si="13"/>
        <v/>
      </c>
      <c r="I27" s="15"/>
      <c r="J27" s="16"/>
      <c r="K27" s="17"/>
      <c r="L27" s="18"/>
      <c r="M27" s="19" t="str">
        <f t="shared" si="2"/>
        <v/>
      </c>
      <c r="N27" s="20" t="str">
        <f t="shared" si="14"/>
        <v/>
      </c>
      <c r="O27" s="15" t="str">
        <f t="shared" si="15"/>
        <v/>
      </c>
      <c r="P27" s="16" t="str">
        <f t="shared" si="15"/>
        <v/>
      </c>
      <c r="Q27" s="17" t="str">
        <f t="shared" si="15"/>
        <v/>
      </c>
      <c r="R27" s="18" t="str">
        <f t="shared" si="15"/>
        <v/>
      </c>
      <c r="S27" s="19" t="str">
        <f t="shared" si="5"/>
        <v/>
      </c>
      <c r="T27" s="20" t="str">
        <f t="shared" si="16"/>
        <v/>
      </c>
    </row>
    <row r="28" spans="2:20" outlineLevel="1">
      <c r="B28" s="56">
        <f t="shared" si="17"/>
        <v>46103</v>
      </c>
      <c r="C28" s="57"/>
      <c r="D28" s="58"/>
      <c r="E28" s="59"/>
      <c r="F28" s="60"/>
      <c r="G28" s="61" t="str">
        <f t="shared" si="0"/>
        <v/>
      </c>
      <c r="H28" s="62" t="str">
        <f t="shared" si="13"/>
        <v/>
      </c>
      <c r="I28" s="57"/>
      <c r="J28" s="58"/>
      <c r="K28" s="59"/>
      <c r="L28" s="60"/>
      <c r="M28" s="61" t="str">
        <f t="shared" si="2"/>
        <v/>
      </c>
      <c r="N28" s="62" t="str">
        <f t="shared" si="14"/>
        <v/>
      </c>
      <c r="O28" s="57" t="str">
        <f t="shared" si="15"/>
        <v/>
      </c>
      <c r="P28" s="58" t="str">
        <f t="shared" si="15"/>
        <v/>
      </c>
      <c r="Q28" s="59" t="str">
        <f t="shared" si="15"/>
        <v/>
      </c>
      <c r="R28" s="60" t="str">
        <f t="shared" si="15"/>
        <v/>
      </c>
      <c r="S28" s="61" t="str">
        <f t="shared" si="5"/>
        <v/>
      </c>
      <c r="T28" s="62" t="str">
        <f t="shared" si="16"/>
        <v/>
      </c>
    </row>
    <row r="29" spans="2:20">
      <c r="B29" s="28" t="s">
        <v>14</v>
      </c>
      <c r="C29" s="29">
        <f>IFERROR(AVERAGE(C22:C28),"")</f>
        <v>3</v>
      </c>
      <c r="D29" s="30">
        <f>IFERROR(AVERAGE(D22:D28),"")</f>
        <v>3</v>
      </c>
      <c r="E29" s="31">
        <f>SUM(E22:E28)</f>
        <v>3000</v>
      </c>
      <c r="F29" s="32">
        <f>SUM(F22:F28)</f>
        <v>2625</v>
      </c>
      <c r="G29" s="33">
        <f t="shared" si="0"/>
        <v>0.875</v>
      </c>
      <c r="H29" s="34">
        <f>IFERROR(AVERAGE(H22:H28),"")</f>
        <v>175</v>
      </c>
      <c r="I29" s="29">
        <f>IFERROR(AVERAGE(I22:I28),"")</f>
        <v>3</v>
      </c>
      <c r="J29" s="30">
        <f>IFERROR(AVERAGE(J22:J28),"")</f>
        <v>3</v>
      </c>
      <c r="K29" s="31">
        <f>SUM(K22:K28)</f>
        <v>3000</v>
      </c>
      <c r="L29" s="32">
        <f>SUM(L22:L28)</f>
        <v>3450</v>
      </c>
      <c r="M29" s="33">
        <f t="shared" si="2"/>
        <v>1.1499999999999999</v>
      </c>
      <c r="N29" s="34">
        <f>IFERROR(AVERAGE(N22:N28),"")</f>
        <v>230</v>
      </c>
      <c r="O29" s="29">
        <f>IFERROR(AVERAGE(O22:O28),"")</f>
        <v>6</v>
      </c>
      <c r="P29" s="30">
        <f>IFERROR(AVERAGE(P22:P28),"")</f>
        <v>6</v>
      </c>
      <c r="Q29" s="31">
        <f>SUM(Q22:Q28)</f>
        <v>6000</v>
      </c>
      <c r="R29" s="32">
        <f>SUM(R22:R28)</f>
        <v>6075</v>
      </c>
      <c r="S29" s="33">
        <f t="shared" si="5"/>
        <v>1.0125</v>
      </c>
      <c r="T29" s="34">
        <f>IFERROR(AVERAGE(T22:T28),"")</f>
        <v>202.5</v>
      </c>
    </row>
    <row r="30" spans="2:20" outlineLevel="1">
      <c r="B30" s="49">
        <f>+B28+1</f>
        <v>46104</v>
      </c>
      <c r="C30" s="50">
        <v>3</v>
      </c>
      <c r="D30" s="51">
        <v>3</v>
      </c>
      <c r="E30" s="52">
        <v>600</v>
      </c>
      <c r="F30" s="53">
        <v>600</v>
      </c>
      <c r="G30" s="54">
        <f t="shared" si="0"/>
        <v>1</v>
      </c>
      <c r="H30" s="55">
        <f t="shared" ref="H30:H36" si="18">IFERROR(F30/D30,"")</f>
        <v>200</v>
      </c>
      <c r="I30" s="50">
        <v>3</v>
      </c>
      <c r="J30" s="51">
        <v>3</v>
      </c>
      <c r="K30" s="52">
        <v>600</v>
      </c>
      <c r="L30" s="53">
        <v>660</v>
      </c>
      <c r="M30" s="54">
        <f t="shared" si="2"/>
        <v>1.1000000000000001</v>
      </c>
      <c r="N30" s="55">
        <f t="shared" ref="N30:N36" si="19">IFERROR(L30/J30,"")</f>
        <v>220</v>
      </c>
      <c r="O30" s="50">
        <f t="shared" ref="O30:R34" si="20">IF((C30+I30)=0,"",(C30+I30))</f>
        <v>6</v>
      </c>
      <c r="P30" s="51">
        <f t="shared" si="20"/>
        <v>6</v>
      </c>
      <c r="Q30" s="52">
        <f t="shared" si="20"/>
        <v>1200</v>
      </c>
      <c r="R30" s="53">
        <f t="shared" si="20"/>
        <v>1260</v>
      </c>
      <c r="S30" s="54">
        <f t="shared" si="5"/>
        <v>1.05</v>
      </c>
      <c r="T30" s="55">
        <f t="shared" ref="T30:T36" si="21">IFERROR(R30/P30,"")</f>
        <v>210</v>
      </c>
    </row>
    <row r="31" spans="2:20" outlineLevel="1">
      <c r="B31" s="14">
        <f t="shared" ref="B31:B36" si="22">+B30+1</f>
        <v>46105</v>
      </c>
      <c r="C31" s="15">
        <v>3</v>
      </c>
      <c r="D31" s="16">
        <v>3</v>
      </c>
      <c r="E31" s="17">
        <v>600</v>
      </c>
      <c r="F31" s="18">
        <v>630</v>
      </c>
      <c r="G31" s="19">
        <f t="shared" si="0"/>
        <v>1.05</v>
      </c>
      <c r="H31" s="20">
        <f t="shared" si="18"/>
        <v>210</v>
      </c>
      <c r="I31" s="15">
        <v>3</v>
      </c>
      <c r="J31" s="16">
        <v>3</v>
      </c>
      <c r="K31" s="17">
        <v>600</v>
      </c>
      <c r="L31" s="18">
        <v>90</v>
      </c>
      <c r="M31" s="19">
        <f t="shared" si="2"/>
        <v>0.15</v>
      </c>
      <c r="N31" s="20">
        <f t="shared" si="19"/>
        <v>30</v>
      </c>
      <c r="O31" s="15">
        <f t="shared" si="20"/>
        <v>6</v>
      </c>
      <c r="P31" s="16">
        <f t="shared" si="20"/>
        <v>6</v>
      </c>
      <c r="Q31" s="17">
        <f t="shared" si="20"/>
        <v>1200</v>
      </c>
      <c r="R31" s="18">
        <f t="shared" si="20"/>
        <v>720</v>
      </c>
      <c r="S31" s="19">
        <f t="shared" si="5"/>
        <v>0.6</v>
      </c>
      <c r="T31" s="20">
        <f t="shared" si="21"/>
        <v>120</v>
      </c>
    </row>
    <row r="32" spans="2:20" outlineLevel="1">
      <c r="B32" s="14">
        <f t="shared" si="22"/>
        <v>46106</v>
      </c>
      <c r="C32" s="15">
        <v>3</v>
      </c>
      <c r="D32" s="16">
        <v>3</v>
      </c>
      <c r="E32" s="17">
        <v>600</v>
      </c>
      <c r="F32" s="18">
        <v>630</v>
      </c>
      <c r="G32" s="19">
        <f t="shared" si="0"/>
        <v>1.05</v>
      </c>
      <c r="H32" s="20">
        <f t="shared" si="18"/>
        <v>210</v>
      </c>
      <c r="I32" s="15">
        <v>3</v>
      </c>
      <c r="J32" s="16">
        <v>3</v>
      </c>
      <c r="K32" s="17">
        <v>600</v>
      </c>
      <c r="L32" s="18">
        <v>645</v>
      </c>
      <c r="M32" s="19">
        <f t="shared" si="2"/>
        <v>1.075</v>
      </c>
      <c r="N32" s="20">
        <f t="shared" si="19"/>
        <v>215</v>
      </c>
      <c r="O32" s="15">
        <f t="shared" si="20"/>
        <v>6</v>
      </c>
      <c r="P32" s="16">
        <f t="shared" si="20"/>
        <v>6</v>
      </c>
      <c r="Q32" s="17">
        <f t="shared" si="20"/>
        <v>1200</v>
      </c>
      <c r="R32" s="18">
        <f t="shared" si="20"/>
        <v>1275</v>
      </c>
      <c r="S32" s="19">
        <f t="shared" si="5"/>
        <v>1.0625</v>
      </c>
      <c r="T32" s="20">
        <f t="shared" si="21"/>
        <v>212.5</v>
      </c>
    </row>
    <row r="33" spans="2:20" outlineLevel="1">
      <c r="B33" s="14">
        <f t="shared" si="22"/>
        <v>46107</v>
      </c>
      <c r="C33" s="15">
        <v>3</v>
      </c>
      <c r="D33" s="16">
        <v>3</v>
      </c>
      <c r="E33" s="17">
        <v>600</v>
      </c>
      <c r="F33" s="18">
        <v>675</v>
      </c>
      <c r="G33" s="19">
        <f t="shared" si="0"/>
        <v>1.125</v>
      </c>
      <c r="H33" s="20">
        <f t="shared" si="18"/>
        <v>225</v>
      </c>
      <c r="I33" s="15">
        <v>3</v>
      </c>
      <c r="J33" s="16">
        <v>3</v>
      </c>
      <c r="K33" s="17">
        <v>600</v>
      </c>
      <c r="L33" s="18">
        <v>660</v>
      </c>
      <c r="M33" s="19">
        <f t="shared" si="2"/>
        <v>1.1000000000000001</v>
      </c>
      <c r="N33" s="20">
        <f t="shared" si="19"/>
        <v>220</v>
      </c>
      <c r="O33" s="15">
        <f t="shared" si="20"/>
        <v>6</v>
      </c>
      <c r="P33" s="16">
        <f t="shared" si="20"/>
        <v>6</v>
      </c>
      <c r="Q33" s="17">
        <f t="shared" si="20"/>
        <v>1200</v>
      </c>
      <c r="R33" s="18">
        <f t="shared" si="20"/>
        <v>1335</v>
      </c>
      <c r="S33" s="19">
        <f t="shared" si="5"/>
        <v>1.1125</v>
      </c>
      <c r="T33" s="20">
        <f t="shared" si="21"/>
        <v>222.5</v>
      </c>
    </row>
    <row r="34" spans="2:20" outlineLevel="1">
      <c r="B34" s="14">
        <f t="shared" si="22"/>
        <v>46108</v>
      </c>
      <c r="C34" s="15">
        <v>3</v>
      </c>
      <c r="D34" s="16">
        <v>3</v>
      </c>
      <c r="E34" s="17">
        <v>600</v>
      </c>
      <c r="F34" s="18">
        <v>540</v>
      </c>
      <c r="G34" s="19">
        <f t="shared" si="0"/>
        <v>0.9</v>
      </c>
      <c r="H34" s="20">
        <f t="shared" si="18"/>
        <v>180</v>
      </c>
      <c r="I34" s="15">
        <v>3</v>
      </c>
      <c r="J34" s="16">
        <v>3</v>
      </c>
      <c r="K34" s="17">
        <v>600</v>
      </c>
      <c r="L34" s="18">
        <v>570</v>
      </c>
      <c r="M34" s="19">
        <f t="shared" si="2"/>
        <v>0.95</v>
      </c>
      <c r="N34" s="20">
        <f t="shared" si="19"/>
        <v>190</v>
      </c>
      <c r="O34" s="15">
        <f t="shared" si="20"/>
        <v>6</v>
      </c>
      <c r="P34" s="16">
        <f t="shared" si="20"/>
        <v>6</v>
      </c>
      <c r="Q34" s="17">
        <f t="shared" si="20"/>
        <v>1200</v>
      </c>
      <c r="R34" s="18">
        <f t="shared" si="20"/>
        <v>1110</v>
      </c>
      <c r="S34" s="19">
        <f t="shared" si="5"/>
        <v>0.92500000000000004</v>
      </c>
      <c r="T34" s="20">
        <f t="shared" si="21"/>
        <v>185</v>
      </c>
    </row>
    <row r="35" spans="2:20" outlineLevel="1">
      <c r="B35" s="56">
        <f t="shared" si="22"/>
        <v>46109</v>
      </c>
      <c r="C35" s="57"/>
      <c r="D35" s="58"/>
      <c r="E35" s="59"/>
      <c r="F35" s="60"/>
      <c r="G35" s="61" t="str">
        <f t="shared" si="0"/>
        <v/>
      </c>
      <c r="H35" s="62" t="str">
        <f t="shared" si="18"/>
        <v/>
      </c>
      <c r="I35" s="57"/>
      <c r="J35" s="58"/>
      <c r="K35" s="59"/>
      <c r="L35" s="60"/>
      <c r="M35" s="61" t="str">
        <f t="shared" si="2"/>
        <v/>
      </c>
      <c r="N35" s="62" t="str">
        <f t="shared" si="19"/>
        <v/>
      </c>
      <c r="O35" s="57" t="str">
        <f>IF((C35+I35)=0,"",(C35+I35))</f>
        <v/>
      </c>
      <c r="P35" s="58" t="str">
        <f>IF((D35+J35)=0,"",(D35+J35))</f>
        <v/>
      </c>
      <c r="Q35" s="59"/>
      <c r="R35" s="60" t="str">
        <f>IF((F35+L35)=0,"",(F35+L35))</f>
        <v/>
      </c>
      <c r="S35" s="61" t="str">
        <f t="shared" si="5"/>
        <v/>
      </c>
      <c r="T35" s="62" t="str">
        <f t="shared" si="21"/>
        <v/>
      </c>
    </row>
    <row r="36" spans="2:20" outlineLevel="1">
      <c r="B36" s="56">
        <f t="shared" si="22"/>
        <v>46110</v>
      </c>
      <c r="C36" s="57"/>
      <c r="D36" s="58"/>
      <c r="E36" s="59"/>
      <c r="F36" s="60"/>
      <c r="G36" s="61" t="str">
        <f t="shared" si="0"/>
        <v/>
      </c>
      <c r="H36" s="62" t="str">
        <f t="shared" si="18"/>
        <v/>
      </c>
      <c r="I36" s="57"/>
      <c r="J36" s="58"/>
      <c r="K36" s="59"/>
      <c r="L36" s="60"/>
      <c r="M36" s="61" t="str">
        <f t="shared" si="2"/>
        <v/>
      </c>
      <c r="N36" s="62" t="str">
        <f t="shared" si="19"/>
        <v/>
      </c>
      <c r="O36" s="57" t="str">
        <f>IF((C36+I36)=0,"",(C36+I36))</f>
        <v/>
      </c>
      <c r="P36" s="58" t="str">
        <f>IF((D36+J36)=0,"",(D36+J36))</f>
        <v/>
      </c>
      <c r="Q36" s="59"/>
      <c r="R36" s="60" t="str">
        <f>IF((F36+L36)=0,"",(F36+L36))</f>
        <v/>
      </c>
      <c r="S36" s="61" t="str">
        <f t="shared" si="5"/>
        <v/>
      </c>
      <c r="T36" s="62" t="str">
        <f t="shared" si="21"/>
        <v/>
      </c>
    </row>
    <row r="37" spans="2:20">
      <c r="B37" s="28" t="s">
        <v>15</v>
      </c>
      <c r="C37" s="29">
        <f>IFERROR(AVERAGE(C30:C36),"")</f>
        <v>3</v>
      </c>
      <c r="D37" s="30">
        <f>IFERROR(AVERAGE(D30:D36),"")</f>
        <v>3</v>
      </c>
      <c r="E37" s="31">
        <f>SUM(E30:E36)</f>
        <v>3000</v>
      </c>
      <c r="F37" s="32">
        <f>SUM(F30:F36)</f>
        <v>3075</v>
      </c>
      <c r="G37" s="33">
        <f t="shared" si="0"/>
        <v>1.0249999999999999</v>
      </c>
      <c r="H37" s="34">
        <f>IFERROR(AVERAGE(H30:H36),"")</f>
        <v>205</v>
      </c>
      <c r="I37" s="29">
        <f>IFERROR(AVERAGE(I30:I36),"")</f>
        <v>3</v>
      </c>
      <c r="J37" s="30">
        <f>IFERROR(AVERAGE(J30:J36),"")</f>
        <v>3</v>
      </c>
      <c r="K37" s="31">
        <f>SUM(K30:K36)</f>
        <v>3000</v>
      </c>
      <c r="L37" s="32">
        <f>SUM(L30:L36)</f>
        <v>2625</v>
      </c>
      <c r="M37" s="33">
        <f t="shared" si="2"/>
        <v>0.875</v>
      </c>
      <c r="N37" s="34">
        <f>IFERROR(AVERAGE(N30:N36),"")</f>
        <v>175</v>
      </c>
      <c r="O37" s="29">
        <f>IFERROR(AVERAGE(O30:O36),"")</f>
        <v>6</v>
      </c>
      <c r="P37" s="30">
        <f>IFERROR(AVERAGE(P30:P36),"")</f>
        <v>6</v>
      </c>
      <c r="Q37" s="31">
        <f>SUM(Q30:Q36)</f>
        <v>6000</v>
      </c>
      <c r="R37" s="32">
        <f>SUM(R30:R36)</f>
        <v>5700</v>
      </c>
      <c r="S37" s="33">
        <f t="shared" si="5"/>
        <v>0.95</v>
      </c>
      <c r="T37" s="34">
        <f>IFERROR(AVERAGE(T30:T36),"")</f>
        <v>190</v>
      </c>
    </row>
    <row r="38" spans="2:20" outlineLevel="1">
      <c r="B38" s="56">
        <f>+B36+1</f>
        <v>46111</v>
      </c>
      <c r="C38" s="57">
        <v>3</v>
      </c>
      <c r="D38" s="58">
        <v>3</v>
      </c>
      <c r="E38" s="59">
        <v>600</v>
      </c>
      <c r="F38" s="60">
        <v>360</v>
      </c>
      <c r="G38" s="61">
        <f t="shared" si="0"/>
        <v>0.6</v>
      </c>
      <c r="H38" s="62">
        <f>IFERROR(F38/D38,"")</f>
        <v>120</v>
      </c>
      <c r="I38" s="57">
        <v>3</v>
      </c>
      <c r="J38" s="58">
        <v>3</v>
      </c>
      <c r="K38" s="59">
        <v>600</v>
      </c>
      <c r="L38" s="60">
        <v>495</v>
      </c>
      <c r="M38" s="61">
        <f t="shared" si="2"/>
        <v>0.82499999999999996</v>
      </c>
      <c r="N38" s="62">
        <f>IFERROR(L38/J38,"")</f>
        <v>165</v>
      </c>
      <c r="O38" s="57">
        <f t="shared" ref="O38:R39" si="23">IF((C38+I38)=0,"",(C38+I38))</f>
        <v>6</v>
      </c>
      <c r="P38" s="58">
        <f t="shared" si="23"/>
        <v>6</v>
      </c>
      <c r="Q38" s="59">
        <f t="shared" si="23"/>
        <v>1200</v>
      </c>
      <c r="R38" s="60">
        <f t="shared" si="23"/>
        <v>855</v>
      </c>
      <c r="S38" s="61">
        <f t="shared" si="5"/>
        <v>0.71250000000000002</v>
      </c>
      <c r="T38" s="62">
        <f>IFERROR(R38/P38,"")</f>
        <v>142.5</v>
      </c>
    </row>
    <row r="39" spans="2:20" outlineLevel="1">
      <c r="B39" s="56">
        <f>+B38+1</f>
        <v>46112</v>
      </c>
      <c r="C39" s="57">
        <v>3</v>
      </c>
      <c r="D39" s="58">
        <v>3</v>
      </c>
      <c r="E39" s="59">
        <v>600</v>
      </c>
      <c r="F39" s="60">
        <v>360</v>
      </c>
      <c r="G39" s="61">
        <f t="shared" si="0"/>
        <v>0.6</v>
      </c>
      <c r="H39" s="62">
        <f>IFERROR(F39/D39,"")</f>
        <v>120</v>
      </c>
      <c r="I39" s="57">
        <v>3</v>
      </c>
      <c r="J39" s="58">
        <v>3</v>
      </c>
      <c r="K39" s="59">
        <v>600</v>
      </c>
      <c r="L39" s="60">
        <v>465</v>
      </c>
      <c r="M39" s="61">
        <f t="shared" si="2"/>
        <v>0.77500000000000002</v>
      </c>
      <c r="N39" s="62">
        <f>IFERROR(L39/J39,"")</f>
        <v>155</v>
      </c>
      <c r="O39" s="57">
        <f t="shared" si="23"/>
        <v>6</v>
      </c>
      <c r="P39" s="58">
        <f t="shared" si="23"/>
        <v>6</v>
      </c>
      <c r="Q39" s="59">
        <f t="shared" si="23"/>
        <v>1200</v>
      </c>
      <c r="R39" s="60">
        <f t="shared" si="23"/>
        <v>825</v>
      </c>
      <c r="S39" s="61">
        <f t="shared" si="5"/>
        <v>0.6875</v>
      </c>
      <c r="T39" s="62">
        <f>IFERROR(R39/P39,"")</f>
        <v>137.5</v>
      </c>
    </row>
    <row r="40" spans="2:20">
      <c r="B40" s="28" t="s">
        <v>17</v>
      </c>
      <c r="C40" s="29">
        <f>IFERROR(AVERAGE(C38:C39),"")</f>
        <v>3</v>
      </c>
      <c r="D40" s="30">
        <f>IFERROR(AVERAGE(D38:D39),"")</f>
        <v>3</v>
      </c>
      <c r="E40" s="31">
        <f>SUM(E38:E39)</f>
        <v>1200</v>
      </c>
      <c r="F40" s="32">
        <f>SUM(F38:F39)</f>
        <v>720</v>
      </c>
      <c r="G40" s="33">
        <f t="shared" si="0"/>
        <v>0.6</v>
      </c>
      <c r="H40" s="34">
        <f>IFERROR(AVERAGE(H38:H39),"")</f>
        <v>120</v>
      </c>
      <c r="I40" s="29">
        <f>IFERROR(AVERAGE(I38:I39),"")</f>
        <v>3</v>
      </c>
      <c r="J40" s="30">
        <f>IFERROR(AVERAGE(J38:J39),"")</f>
        <v>3</v>
      </c>
      <c r="K40" s="31">
        <f>SUM(K38:K39)</f>
        <v>1200</v>
      </c>
      <c r="L40" s="32">
        <f>SUM(L38:L39)</f>
        <v>960</v>
      </c>
      <c r="M40" s="33">
        <f t="shared" si="2"/>
        <v>0.8</v>
      </c>
      <c r="N40" s="34">
        <f>IFERROR(AVERAGE(N38:N39),"")</f>
        <v>160</v>
      </c>
      <c r="O40" s="29">
        <f>IFERROR(AVERAGE(O38:O39),"")</f>
        <v>6</v>
      </c>
      <c r="P40" s="30">
        <f>IFERROR(AVERAGE(P38:P39),"")</f>
        <v>6</v>
      </c>
      <c r="Q40" s="31">
        <f>SUM(Q38:Q39)</f>
        <v>2400</v>
      </c>
      <c r="R40" s="32">
        <f>SUM(R38:R39)</f>
        <v>1680</v>
      </c>
      <c r="S40" s="33">
        <f t="shared" si="5"/>
        <v>0.7</v>
      </c>
      <c r="T40" s="34">
        <f>IFERROR(AVERAGE(T38:T39),"")</f>
        <v>140</v>
      </c>
    </row>
    <row r="41" spans="2:20" ht="13.5" customHeight="1" thickBot="1">
      <c r="B41" s="35" t="s">
        <v>16</v>
      </c>
      <c r="C41" s="36">
        <f>IFERROR(AVERAGE(C13,C21,C29,C37,C40),"")</f>
        <v>3</v>
      </c>
      <c r="D41" s="37">
        <f>IFERROR(AVERAGE(D13,D21,D29,D37,D40),"")</f>
        <v>3</v>
      </c>
      <c r="E41" s="38">
        <f>SUM(E13,E21,E29,E37,E40)</f>
        <v>13200</v>
      </c>
      <c r="F41" s="39">
        <f>SUM(F13,F21,F29,F37,F40)</f>
        <v>12750</v>
      </c>
      <c r="G41" s="40">
        <f t="shared" si="0"/>
        <v>0.96590909090909094</v>
      </c>
      <c r="H41" s="41">
        <f>IFERROR(AVERAGE(H13,H21,H29,H37,H40),"")</f>
        <v>183.33333333333331</v>
      </c>
      <c r="I41" s="36">
        <f>IFERROR(AVERAGE(I13,I21,I29,I37,I40),"")</f>
        <v>3</v>
      </c>
      <c r="J41" s="37">
        <f>IFERROR(AVERAGE(J13,J21,J29,J37,J40),"")</f>
        <v>3</v>
      </c>
      <c r="K41" s="38">
        <f>SUM(K13,K21,K29,K37,K40)</f>
        <v>12600</v>
      </c>
      <c r="L41" s="39">
        <f>SUM(L13,L21,L29,L37,L40)</f>
        <v>13095</v>
      </c>
      <c r="M41" s="40">
        <f t="shared" si="2"/>
        <v>1.0392857142857144</v>
      </c>
      <c r="N41" s="41">
        <f>IFERROR(AVERAGE(N13,N21,N29,N37,N40),"")</f>
        <v>202.8</v>
      </c>
      <c r="O41" s="36">
        <f>IFERROR(AVERAGE(O13,O21,O29,O37,O40),"")</f>
        <v>5.9</v>
      </c>
      <c r="P41" s="37">
        <f>IFERROR(AVERAGE(P13,P21,P29,P37,P40),"")</f>
        <v>5.9</v>
      </c>
      <c r="Q41" s="38">
        <f>SUM(Q13,Q21,Q29,Q37,Q40)</f>
        <v>25800</v>
      </c>
      <c r="R41" s="39">
        <f>SUM(R13,R21,R29,R37,R40)</f>
        <v>25845</v>
      </c>
      <c r="S41" s="40">
        <f t="shared" si="5"/>
        <v>1.0017441860465117</v>
      </c>
      <c r="T41" s="41">
        <f>IFERROR(AVERAGE(T13,T21,T29,T37,T40),"")</f>
        <v>193</v>
      </c>
    </row>
    <row r="46" spans="2:20">
      <c r="F46" s="42"/>
    </row>
  </sheetData>
  <mergeCells count="13">
    <mergeCell ref="T3:T4"/>
    <mergeCell ref="E3:G3"/>
    <mergeCell ref="K3:M3"/>
    <mergeCell ref="C3:D3"/>
    <mergeCell ref="B2:B4"/>
    <mergeCell ref="O2:T2"/>
    <mergeCell ref="O3:P3"/>
    <mergeCell ref="C2:H2"/>
    <mergeCell ref="I2:N2"/>
    <mergeCell ref="I3:J3"/>
    <mergeCell ref="Q3:S3"/>
    <mergeCell ref="N3:N4"/>
    <mergeCell ref="H3:H4"/>
  </mergeCells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45"/>
  <sheetViews>
    <sheetView topLeftCell="A13" workbookViewId="0">
      <selection activeCell="A21" sqref="A21"/>
    </sheetView>
  </sheetViews>
  <sheetFormatPr defaultColWidth="9" defaultRowHeight="12.75" outlineLevelRow="1"/>
  <cols>
    <col min="1" max="1" width="1.5703125" style="1" customWidth="1"/>
    <col min="2" max="2" width="8.28515625" style="1" bestFit="1" customWidth="1"/>
    <col min="3" max="4" width="4.42578125" style="1" customWidth="1"/>
    <col min="5" max="5" width="6.7109375" style="1" customWidth="1"/>
    <col min="6" max="6" width="6.28515625" style="1" customWidth="1"/>
    <col min="7" max="8" width="6" style="1" customWidth="1"/>
    <col min="9" max="10" width="4.42578125" style="1" customWidth="1"/>
    <col min="11" max="11" width="6.7109375" style="1" customWidth="1"/>
    <col min="12" max="12" width="6.28515625" style="1" customWidth="1"/>
    <col min="13" max="14" width="6" style="1" customWidth="1"/>
    <col min="15" max="16" width="4.5703125" style="1" bestFit="1" customWidth="1"/>
    <col min="17" max="17" width="6.7109375" style="1" customWidth="1"/>
    <col min="18" max="18" width="6.28515625" style="1" customWidth="1"/>
    <col min="19" max="20" width="6" style="1" customWidth="1"/>
    <col min="21" max="21" width="1.5703125" style="1" customWidth="1"/>
    <col min="22" max="22" width="9" style="1" customWidth="1"/>
    <col min="23" max="16384" width="9" style="1"/>
  </cols>
  <sheetData>
    <row r="1" spans="2:20" ht="13.5" customHeight="1" thickBot="1"/>
    <row r="2" spans="2:20" ht="13.5" customHeight="1">
      <c r="B2" s="218" t="s">
        <v>0</v>
      </c>
      <c r="C2" s="211" t="s">
        <v>1</v>
      </c>
      <c r="D2" s="212"/>
      <c r="E2" s="212"/>
      <c r="F2" s="212"/>
      <c r="G2" s="212"/>
      <c r="H2" s="213"/>
      <c r="I2" s="211" t="s">
        <v>2</v>
      </c>
      <c r="J2" s="212"/>
      <c r="K2" s="212"/>
      <c r="L2" s="212"/>
      <c r="M2" s="212"/>
      <c r="N2" s="213"/>
      <c r="O2" s="211" t="s">
        <v>3</v>
      </c>
      <c r="P2" s="212"/>
      <c r="Q2" s="212"/>
      <c r="R2" s="212"/>
      <c r="S2" s="212"/>
      <c r="T2" s="213"/>
    </row>
    <row r="3" spans="2:20" ht="13.5" customHeight="1">
      <c r="B3" s="219"/>
      <c r="C3" s="221" t="s">
        <v>4</v>
      </c>
      <c r="D3" s="222"/>
      <c r="E3" s="223" t="s">
        <v>5</v>
      </c>
      <c r="F3" s="224"/>
      <c r="G3" s="222"/>
      <c r="H3" s="225" t="s">
        <v>6</v>
      </c>
      <c r="I3" s="221" t="s">
        <v>4</v>
      </c>
      <c r="J3" s="222"/>
      <c r="K3" s="223" t="s">
        <v>5</v>
      </c>
      <c r="L3" s="224"/>
      <c r="M3" s="222"/>
      <c r="N3" s="225" t="s">
        <v>6</v>
      </c>
      <c r="O3" s="221" t="s">
        <v>4</v>
      </c>
      <c r="P3" s="222"/>
      <c r="Q3" s="223" t="s">
        <v>5</v>
      </c>
      <c r="R3" s="224"/>
      <c r="S3" s="222"/>
      <c r="T3" s="225" t="s">
        <v>6</v>
      </c>
    </row>
    <row r="4" spans="2:20" ht="25.5" customHeight="1">
      <c r="B4" s="220"/>
      <c r="C4" s="44" t="s">
        <v>7</v>
      </c>
      <c r="D4" s="45" t="s">
        <v>8</v>
      </c>
      <c r="E4" s="46" t="s">
        <v>9</v>
      </c>
      <c r="F4" s="47" t="s">
        <v>10</v>
      </c>
      <c r="G4" s="48" t="s">
        <v>11</v>
      </c>
      <c r="H4" s="226"/>
      <c r="I4" s="44" t="s">
        <v>7</v>
      </c>
      <c r="J4" s="45" t="s">
        <v>8</v>
      </c>
      <c r="K4" s="46" t="s">
        <v>9</v>
      </c>
      <c r="L4" s="47" t="s">
        <v>10</v>
      </c>
      <c r="M4" s="48" t="s">
        <v>11</v>
      </c>
      <c r="N4" s="226"/>
      <c r="O4" s="44" t="s">
        <v>7</v>
      </c>
      <c r="P4" s="45" t="s">
        <v>8</v>
      </c>
      <c r="Q4" s="46" t="s">
        <v>9</v>
      </c>
      <c r="R4" s="47" t="s">
        <v>10</v>
      </c>
      <c r="S4" s="48" t="s">
        <v>11</v>
      </c>
      <c r="T4" s="226"/>
    </row>
    <row r="5" spans="2:20" outlineLevel="1">
      <c r="B5" s="49">
        <v>46113</v>
      </c>
      <c r="C5" s="50">
        <v>3</v>
      </c>
      <c r="D5" s="51">
        <v>3</v>
      </c>
      <c r="E5" s="52">
        <v>600</v>
      </c>
      <c r="F5" s="53">
        <v>375</v>
      </c>
      <c r="G5" s="54">
        <f t="shared" ref="G5:G40" si="0">IFERROR(F5/E5,"")</f>
        <v>0.625</v>
      </c>
      <c r="H5" s="55">
        <f>IFERROR(F5/D5,"")</f>
        <v>125</v>
      </c>
      <c r="I5" s="50">
        <v>3</v>
      </c>
      <c r="J5" s="51">
        <v>3</v>
      </c>
      <c r="K5" s="52">
        <v>600</v>
      </c>
      <c r="L5" s="53">
        <v>405</v>
      </c>
      <c r="M5" s="54">
        <f t="shared" ref="M5:M40" si="1">IFERROR(L5/K5,"")</f>
        <v>0.67500000000000004</v>
      </c>
      <c r="N5" s="55">
        <f>IFERROR(L5/J5,"")</f>
        <v>135</v>
      </c>
      <c r="O5" s="50">
        <f t="shared" ref="O5:R9" si="2">IF((C5+I5)=0,"",(C5+I5))</f>
        <v>6</v>
      </c>
      <c r="P5" s="51">
        <f t="shared" si="2"/>
        <v>6</v>
      </c>
      <c r="Q5" s="52">
        <f t="shared" si="2"/>
        <v>1200</v>
      </c>
      <c r="R5" s="53">
        <f t="shared" si="2"/>
        <v>780</v>
      </c>
      <c r="S5" s="54">
        <f t="shared" ref="S5:S40" si="3">IFERROR(R5/Q5,"")</f>
        <v>0.65</v>
      </c>
      <c r="T5" s="55">
        <f>IFERROR(R5/P5,"")</f>
        <v>130</v>
      </c>
    </row>
    <row r="6" spans="2:20" outlineLevel="1">
      <c r="B6" s="14">
        <f>+B5+1</f>
        <v>46114</v>
      </c>
      <c r="C6" s="15">
        <v>3</v>
      </c>
      <c r="D6" s="16">
        <v>3</v>
      </c>
      <c r="E6" s="17">
        <v>600</v>
      </c>
      <c r="F6" s="18">
        <v>450</v>
      </c>
      <c r="G6" s="19">
        <f t="shared" si="0"/>
        <v>0.75</v>
      </c>
      <c r="H6" s="20">
        <f>IFERROR(F6/D6,"")</f>
        <v>150</v>
      </c>
      <c r="I6" s="15">
        <v>3</v>
      </c>
      <c r="J6" s="16">
        <v>3</v>
      </c>
      <c r="K6" s="17">
        <v>600</v>
      </c>
      <c r="L6" s="18">
        <v>465</v>
      </c>
      <c r="M6" s="19">
        <f t="shared" si="1"/>
        <v>0.77500000000000002</v>
      </c>
      <c r="N6" s="20">
        <f>IFERROR(L6/J6,"")</f>
        <v>155</v>
      </c>
      <c r="O6" s="15">
        <f t="shared" si="2"/>
        <v>6</v>
      </c>
      <c r="P6" s="16">
        <f t="shared" si="2"/>
        <v>6</v>
      </c>
      <c r="Q6" s="17">
        <f t="shared" si="2"/>
        <v>1200</v>
      </c>
      <c r="R6" s="18">
        <f t="shared" si="2"/>
        <v>915</v>
      </c>
      <c r="S6" s="19">
        <f t="shared" si="3"/>
        <v>0.76249999999999996</v>
      </c>
      <c r="T6" s="20">
        <f>IFERROR(R6/P6,"")</f>
        <v>152.5</v>
      </c>
    </row>
    <row r="7" spans="2:20" outlineLevel="1">
      <c r="B7" s="14">
        <f>+B6+1</f>
        <v>46115</v>
      </c>
      <c r="C7" s="15">
        <v>3</v>
      </c>
      <c r="D7" s="16">
        <v>3</v>
      </c>
      <c r="E7" s="17">
        <v>600</v>
      </c>
      <c r="F7" s="18">
        <v>390</v>
      </c>
      <c r="G7" s="19">
        <f t="shared" si="0"/>
        <v>0.65</v>
      </c>
      <c r="H7" s="20">
        <f>IFERROR(F7/D7,"")</f>
        <v>130</v>
      </c>
      <c r="I7" s="15">
        <v>3</v>
      </c>
      <c r="J7" s="16">
        <v>3</v>
      </c>
      <c r="K7" s="17">
        <v>600</v>
      </c>
      <c r="L7" s="18">
        <v>465</v>
      </c>
      <c r="M7" s="19">
        <f t="shared" si="1"/>
        <v>0.77500000000000002</v>
      </c>
      <c r="N7" s="20">
        <f>IFERROR(L7/J7,"")</f>
        <v>155</v>
      </c>
      <c r="O7" s="15">
        <f t="shared" si="2"/>
        <v>6</v>
      </c>
      <c r="P7" s="16">
        <f t="shared" si="2"/>
        <v>6</v>
      </c>
      <c r="Q7" s="17">
        <f t="shared" si="2"/>
        <v>1200</v>
      </c>
      <c r="R7" s="18">
        <f t="shared" si="2"/>
        <v>855</v>
      </c>
      <c r="S7" s="19">
        <f t="shared" si="3"/>
        <v>0.71250000000000002</v>
      </c>
      <c r="T7" s="20">
        <f>IFERROR(R7/P7,"")</f>
        <v>142.5</v>
      </c>
    </row>
    <row r="8" spans="2:20" outlineLevel="1">
      <c r="B8" s="14">
        <f>+B7+1</f>
        <v>46116</v>
      </c>
      <c r="C8" s="15"/>
      <c r="D8" s="16"/>
      <c r="E8" s="17"/>
      <c r="F8" s="18"/>
      <c r="G8" s="19" t="str">
        <f t="shared" si="0"/>
        <v/>
      </c>
      <c r="H8" s="20" t="str">
        <f>IFERROR(F8/D8,"")</f>
        <v/>
      </c>
      <c r="I8" s="15"/>
      <c r="J8" s="16"/>
      <c r="K8" s="17"/>
      <c r="L8" s="18"/>
      <c r="M8" s="19" t="str">
        <f t="shared" si="1"/>
        <v/>
      </c>
      <c r="N8" s="20" t="str">
        <f>IFERROR(L8/J8,"")</f>
        <v/>
      </c>
      <c r="O8" s="15" t="str">
        <f t="shared" si="2"/>
        <v/>
      </c>
      <c r="P8" s="16" t="str">
        <f t="shared" si="2"/>
        <v/>
      </c>
      <c r="Q8" s="17" t="str">
        <f t="shared" si="2"/>
        <v/>
      </c>
      <c r="R8" s="18" t="str">
        <f t="shared" si="2"/>
        <v/>
      </c>
      <c r="S8" s="19" t="str">
        <f t="shared" si="3"/>
        <v/>
      </c>
      <c r="T8" s="20" t="str">
        <f>IFERROR(R8/P8,"")</f>
        <v/>
      </c>
    </row>
    <row r="9" spans="2:20" outlineLevel="1">
      <c r="B9" s="14">
        <f>+B8+1</f>
        <v>46117</v>
      </c>
      <c r="C9" s="15">
        <f>2+6+1</f>
        <v>9</v>
      </c>
      <c r="D9" s="16">
        <v>9</v>
      </c>
      <c r="E9" s="17">
        <v>1200</v>
      </c>
      <c r="F9" s="18">
        <f>930+465</f>
        <v>1395</v>
      </c>
      <c r="G9" s="19">
        <f t="shared" si="0"/>
        <v>1.1625000000000001</v>
      </c>
      <c r="H9" s="20">
        <f>IFERROR(F9/D9,"")</f>
        <v>155</v>
      </c>
      <c r="I9" s="15"/>
      <c r="J9" s="16"/>
      <c r="K9" s="17"/>
      <c r="L9" s="18"/>
      <c r="M9" s="19" t="str">
        <f t="shared" si="1"/>
        <v/>
      </c>
      <c r="N9" s="20" t="str">
        <f>IFERROR(L9/J9,"")</f>
        <v/>
      </c>
      <c r="O9" s="15">
        <f t="shared" si="2"/>
        <v>9</v>
      </c>
      <c r="P9" s="16">
        <f t="shared" si="2"/>
        <v>9</v>
      </c>
      <c r="Q9" s="17">
        <f t="shared" si="2"/>
        <v>1200</v>
      </c>
      <c r="R9" s="18">
        <f t="shared" si="2"/>
        <v>1395</v>
      </c>
      <c r="S9" s="19">
        <f t="shared" si="3"/>
        <v>1.1625000000000001</v>
      </c>
      <c r="T9" s="20">
        <f>IFERROR(R9/P9,"")</f>
        <v>155</v>
      </c>
    </row>
    <row r="10" spans="2:20">
      <c r="B10" s="28" t="s">
        <v>12</v>
      </c>
      <c r="C10" s="29">
        <f>IFERROR(AVERAGE(C5:C9),"")</f>
        <v>4.5</v>
      </c>
      <c r="D10" s="30">
        <f>IFERROR(AVERAGE(D5:D9),"")</f>
        <v>4.5</v>
      </c>
      <c r="E10" s="31">
        <f>SUM(E5:E9)</f>
        <v>3000</v>
      </c>
      <c r="F10" s="32">
        <f>SUM(F5:F9)</f>
        <v>2610</v>
      </c>
      <c r="G10" s="33">
        <f t="shared" si="0"/>
        <v>0.87</v>
      </c>
      <c r="H10" s="34">
        <f>IFERROR(AVERAGE(H5:H9),"")</f>
        <v>140</v>
      </c>
      <c r="I10" s="29">
        <f>IFERROR(AVERAGE(I5:I9),"")</f>
        <v>3</v>
      </c>
      <c r="J10" s="30">
        <f>IFERROR(AVERAGE(J5:J9),"")</f>
        <v>3</v>
      </c>
      <c r="K10" s="31">
        <f>SUM(K5:K9)</f>
        <v>1800</v>
      </c>
      <c r="L10" s="32">
        <f>SUM(L5:L9)</f>
        <v>1335</v>
      </c>
      <c r="M10" s="33">
        <f t="shared" si="1"/>
        <v>0.7416666666666667</v>
      </c>
      <c r="N10" s="34">
        <f>IFERROR(AVERAGE(N5:N9),"")</f>
        <v>148.33333333333334</v>
      </c>
      <c r="O10" s="29">
        <f>IFERROR(AVERAGE(O5:O9),"")</f>
        <v>6.75</v>
      </c>
      <c r="P10" s="30">
        <f>IFERROR(AVERAGE(P5:P9),"")</f>
        <v>6.75</v>
      </c>
      <c r="Q10" s="31">
        <f>SUM(Q5:Q9)</f>
        <v>4800</v>
      </c>
      <c r="R10" s="32">
        <f>SUM(R5:R9)</f>
        <v>3945</v>
      </c>
      <c r="S10" s="33">
        <f t="shared" si="3"/>
        <v>0.82187500000000002</v>
      </c>
      <c r="T10" s="34">
        <f>IFERROR(AVERAGE(T5:T9),"")</f>
        <v>145</v>
      </c>
    </row>
    <row r="11" spans="2:20" outlineLevel="1">
      <c r="B11" s="49">
        <f>+B9+1</f>
        <v>46118</v>
      </c>
      <c r="C11" s="50"/>
      <c r="D11" s="51"/>
      <c r="E11" s="52"/>
      <c r="F11" s="53"/>
      <c r="G11" s="54" t="str">
        <f t="shared" si="0"/>
        <v/>
      </c>
      <c r="H11" s="55" t="str">
        <f t="shared" ref="H11:H17" si="4">IFERROR(F11/D11,"")</f>
        <v/>
      </c>
      <c r="I11" s="50">
        <v>3</v>
      </c>
      <c r="J11" s="51">
        <v>3</v>
      </c>
      <c r="K11" s="52">
        <v>600</v>
      </c>
      <c r="L11" s="53">
        <v>270</v>
      </c>
      <c r="M11" s="54">
        <f t="shared" si="1"/>
        <v>0.45</v>
      </c>
      <c r="N11" s="55">
        <f t="shared" ref="N11:N17" si="5">IFERROR(L11/J11,"")</f>
        <v>90</v>
      </c>
      <c r="O11" s="50">
        <f t="shared" ref="O11:R17" si="6">IF((C11+I11)=0,"",(C11+I11))</f>
        <v>3</v>
      </c>
      <c r="P11" s="51">
        <f t="shared" si="6"/>
        <v>3</v>
      </c>
      <c r="Q11" s="52">
        <f t="shared" si="6"/>
        <v>600</v>
      </c>
      <c r="R11" s="53">
        <f t="shared" si="6"/>
        <v>270</v>
      </c>
      <c r="S11" s="54">
        <f t="shared" si="3"/>
        <v>0.45</v>
      </c>
      <c r="T11" s="55">
        <f t="shared" ref="T11:T17" si="7">IFERROR(R11/P11,"")</f>
        <v>90</v>
      </c>
    </row>
    <row r="12" spans="2:20" outlineLevel="1">
      <c r="B12" s="14">
        <f t="shared" ref="B12:B17" si="8">+B11+1</f>
        <v>46119</v>
      </c>
      <c r="C12" s="15">
        <v>3</v>
      </c>
      <c r="D12" s="16">
        <v>3</v>
      </c>
      <c r="E12" s="17">
        <v>600</v>
      </c>
      <c r="F12" s="18">
        <v>540</v>
      </c>
      <c r="G12" s="19">
        <f t="shared" si="0"/>
        <v>0.9</v>
      </c>
      <c r="H12" s="20">
        <f t="shared" si="4"/>
        <v>180</v>
      </c>
      <c r="I12" s="15">
        <v>3</v>
      </c>
      <c r="J12" s="16">
        <v>3</v>
      </c>
      <c r="K12" s="17">
        <v>600</v>
      </c>
      <c r="L12" s="18">
        <v>555</v>
      </c>
      <c r="M12" s="19">
        <f t="shared" si="1"/>
        <v>0.92500000000000004</v>
      </c>
      <c r="N12" s="20">
        <f t="shared" si="5"/>
        <v>185</v>
      </c>
      <c r="O12" s="15">
        <f t="shared" si="6"/>
        <v>6</v>
      </c>
      <c r="P12" s="16">
        <f t="shared" si="6"/>
        <v>6</v>
      </c>
      <c r="Q12" s="17">
        <f t="shared" si="6"/>
        <v>1200</v>
      </c>
      <c r="R12" s="18">
        <f t="shared" si="6"/>
        <v>1095</v>
      </c>
      <c r="S12" s="19">
        <f t="shared" si="3"/>
        <v>0.91249999999999998</v>
      </c>
      <c r="T12" s="20">
        <f t="shared" si="7"/>
        <v>182.5</v>
      </c>
    </row>
    <row r="13" spans="2:20" outlineLevel="1">
      <c r="B13" s="14">
        <f t="shared" si="8"/>
        <v>46120</v>
      </c>
      <c r="C13" s="15">
        <v>3</v>
      </c>
      <c r="D13" s="16">
        <v>3</v>
      </c>
      <c r="E13" s="17">
        <v>600</v>
      </c>
      <c r="F13" s="18">
        <v>570</v>
      </c>
      <c r="G13" s="19">
        <f t="shared" si="0"/>
        <v>0.95</v>
      </c>
      <c r="H13" s="20">
        <f t="shared" si="4"/>
        <v>190</v>
      </c>
      <c r="I13" s="15">
        <v>3</v>
      </c>
      <c r="J13" s="16">
        <v>3</v>
      </c>
      <c r="K13" s="17">
        <v>600</v>
      </c>
      <c r="L13" s="18">
        <v>180</v>
      </c>
      <c r="M13" s="19">
        <f t="shared" si="1"/>
        <v>0.3</v>
      </c>
      <c r="N13" s="20">
        <f t="shared" si="5"/>
        <v>60</v>
      </c>
      <c r="O13" s="15">
        <f t="shared" si="6"/>
        <v>6</v>
      </c>
      <c r="P13" s="16">
        <f t="shared" si="6"/>
        <v>6</v>
      </c>
      <c r="Q13" s="17">
        <f t="shared" si="6"/>
        <v>1200</v>
      </c>
      <c r="R13" s="18">
        <f t="shared" si="6"/>
        <v>750</v>
      </c>
      <c r="S13" s="19">
        <f t="shared" si="3"/>
        <v>0.625</v>
      </c>
      <c r="T13" s="20">
        <f t="shared" si="7"/>
        <v>125</v>
      </c>
    </row>
    <row r="14" spans="2:20" outlineLevel="1">
      <c r="B14" s="14">
        <f t="shared" si="8"/>
        <v>46121</v>
      </c>
      <c r="C14" s="15">
        <v>3</v>
      </c>
      <c r="D14" s="16">
        <v>3</v>
      </c>
      <c r="E14" s="17">
        <v>600</v>
      </c>
      <c r="F14" s="18">
        <v>510</v>
      </c>
      <c r="G14" s="19">
        <f t="shared" si="0"/>
        <v>0.85</v>
      </c>
      <c r="H14" s="20">
        <f t="shared" si="4"/>
        <v>170</v>
      </c>
      <c r="I14" s="15">
        <v>3</v>
      </c>
      <c r="J14" s="16">
        <v>3</v>
      </c>
      <c r="K14" s="17">
        <v>600</v>
      </c>
      <c r="L14" s="18">
        <v>435</v>
      </c>
      <c r="M14" s="19">
        <f t="shared" si="1"/>
        <v>0.72499999999999998</v>
      </c>
      <c r="N14" s="20">
        <f t="shared" si="5"/>
        <v>145</v>
      </c>
      <c r="O14" s="15">
        <f t="shared" si="6"/>
        <v>6</v>
      </c>
      <c r="P14" s="16">
        <f t="shared" si="6"/>
        <v>6</v>
      </c>
      <c r="Q14" s="17">
        <f t="shared" si="6"/>
        <v>1200</v>
      </c>
      <c r="R14" s="18">
        <f t="shared" si="6"/>
        <v>945</v>
      </c>
      <c r="S14" s="19">
        <f t="shared" si="3"/>
        <v>0.78749999999999998</v>
      </c>
      <c r="T14" s="20">
        <f t="shared" si="7"/>
        <v>157.5</v>
      </c>
    </row>
    <row r="15" spans="2:20" outlineLevel="1">
      <c r="B15" s="14">
        <f t="shared" si="8"/>
        <v>46122</v>
      </c>
      <c r="C15" s="15">
        <v>3</v>
      </c>
      <c r="D15" s="16">
        <v>3</v>
      </c>
      <c r="E15" s="17">
        <v>600</v>
      </c>
      <c r="F15" s="18">
        <v>615</v>
      </c>
      <c r="G15" s="19">
        <f t="shared" si="0"/>
        <v>1.0249999999999999</v>
      </c>
      <c r="H15" s="20">
        <f t="shared" si="4"/>
        <v>205</v>
      </c>
      <c r="I15" s="15">
        <v>3</v>
      </c>
      <c r="J15" s="16">
        <v>3</v>
      </c>
      <c r="K15" s="17">
        <v>600</v>
      </c>
      <c r="L15" s="18">
        <v>630</v>
      </c>
      <c r="M15" s="19">
        <f t="shared" si="1"/>
        <v>1.05</v>
      </c>
      <c r="N15" s="20">
        <f t="shared" si="5"/>
        <v>210</v>
      </c>
      <c r="O15" s="15">
        <f t="shared" si="6"/>
        <v>6</v>
      </c>
      <c r="P15" s="16">
        <f t="shared" si="6"/>
        <v>6</v>
      </c>
      <c r="Q15" s="17">
        <f t="shared" si="6"/>
        <v>1200</v>
      </c>
      <c r="R15" s="18">
        <f t="shared" si="6"/>
        <v>1245</v>
      </c>
      <c r="S15" s="19">
        <f t="shared" si="3"/>
        <v>1.0375000000000001</v>
      </c>
      <c r="T15" s="20">
        <f t="shared" si="7"/>
        <v>207.5</v>
      </c>
    </row>
    <row r="16" spans="2:20" outlineLevel="1">
      <c r="B16" s="14">
        <f t="shared" si="8"/>
        <v>46123</v>
      </c>
      <c r="C16" s="15"/>
      <c r="D16" s="16"/>
      <c r="E16" s="17"/>
      <c r="F16" s="18"/>
      <c r="G16" s="19" t="str">
        <f t="shared" si="0"/>
        <v/>
      </c>
      <c r="H16" s="20" t="str">
        <f t="shared" si="4"/>
        <v/>
      </c>
      <c r="I16" s="15"/>
      <c r="J16" s="16"/>
      <c r="K16" s="17"/>
      <c r="L16" s="18"/>
      <c r="M16" s="19" t="str">
        <f t="shared" si="1"/>
        <v/>
      </c>
      <c r="N16" s="20" t="str">
        <f t="shared" si="5"/>
        <v/>
      </c>
      <c r="O16" s="15" t="str">
        <f t="shared" si="6"/>
        <v/>
      </c>
      <c r="P16" s="16" t="str">
        <f t="shared" si="6"/>
        <v/>
      </c>
      <c r="Q16" s="17" t="str">
        <f t="shared" si="6"/>
        <v/>
      </c>
      <c r="R16" s="18" t="str">
        <f t="shared" si="6"/>
        <v/>
      </c>
      <c r="S16" s="19" t="str">
        <f t="shared" si="3"/>
        <v/>
      </c>
      <c r="T16" s="20" t="str">
        <f t="shared" si="7"/>
        <v/>
      </c>
    </row>
    <row r="17" spans="2:20" outlineLevel="1">
      <c r="B17" s="56">
        <f t="shared" si="8"/>
        <v>46124</v>
      </c>
      <c r="C17" s="57"/>
      <c r="D17" s="58"/>
      <c r="E17" s="59"/>
      <c r="F17" s="60"/>
      <c r="G17" s="61" t="str">
        <f t="shared" si="0"/>
        <v/>
      </c>
      <c r="H17" s="62" t="str">
        <f t="shared" si="4"/>
        <v/>
      </c>
      <c r="I17" s="57"/>
      <c r="J17" s="58"/>
      <c r="K17" s="59"/>
      <c r="L17" s="60"/>
      <c r="M17" s="61" t="str">
        <f t="shared" si="1"/>
        <v/>
      </c>
      <c r="N17" s="62" t="str">
        <f t="shared" si="5"/>
        <v/>
      </c>
      <c r="O17" s="57" t="str">
        <f t="shared" si="6"/>
        <v/>
      </c>
      <c r="P17" s="58" t="str">
        <f t="shared" si="6"/>
        <v/>
      </c>
      <c r="Q17" s="59" t="str">
        <f t="shared" si="6"/>
        <v/>
      </c>
      <c r="R17" s="60" t="str">
        <f t="shared" si="6"/>
        <v/>
      </c>
      <c r="S17" s="61" t="str">
        <f t="shared" si="3"/>
        <v/>
      </c>
      <c r="T17" s="62" t="str">
        <f t="shared" si="7"/>
        <v/>
      </c>
    </row>
    <row r="18" spans="2:20">
      <c r="B18" s="28" t="s">
        <v>13</v>
      </c>
      <c r="C18" s="29">
        <f>IFERROR(AVERAGE(C11:C17),"")</f>
        <v>3</v>
      </c>
      <c r="D18" s="30">
        <f>IFERROR(AVERAGE(D11:D17),"")</f>
        <v>3</v>
      </c>
      <c r="E18" s="31">
        <f>SUM(E11:E17)</f>
        <v>2400</v>
      </c>
      <c r="F18" s="32">
        <f>SUM(F11:F17)</f>
        <v>2235</v>
      </c>
      <c r="G18" s="33">
        <f t="shared" si="0"/>
        <v>0.93125000000000002</v>
      </c>
      <c r="H18" s="34">
        <f>IFERROR(AVERAGE(H11:H17),"")</f>
        <v>186.25</v>
      </c>
      <c r="I18" s="29">
        <f>IFERROR(AVERAGE(I11:I17),"")</f>
        <v>3</v>
      </c>
      <c r="J18" s="30">
        <f>IFERROR(AVERAGE(J11:J17),"")</f>
        <v>3</v>
      </c>
      <c r="K18" s="31">
        <f>SUM(K11:K17)</f>
        <v>3000</v>
      </c>
      <c r="L18" s="32">
        <f>SUM(L11:L17)</f>
        <v>2070</v>
      </c>
      <c r="M18" s="33">
        <f t="shared" si="1"/>
        <v>0.69</v>
      </c>
      <c r="N18" s="34">
        <f>IFERROR(AVERAGE(N11:N17),"")</f>
        <v>138</v>
      </c>
      <c r="O18" s="29">
        <f>IFERROR(AVERAGE(O11:O17),"")</f>
        <v>5.4</v>
      </c>
      <c r="P18" s="30">
        <f>IFERROR(AVERAGE(P11:P17),"")</f>
        <v>5.4</v>
      </c>
      <c r="Q18" s="31">
        <f>SUM(Q11:Q17)</f>
        <v>5400</v>
      </c>
      <c r="R18" s="32">
        <f>SUM(R11:R17)</f>
        <v>4305</v>
      </c>
      <c r="S18" s="33">
        <f t="shared" si="3"/>
        <v>0.79722222222222228</v>
      </c>
      <c r="T18" s="34">
        <f>IFERROR(AVERAGE(T11:T17),"")</f>
        <v>152.5</v>
      </c>
    </row>
    <row r="19" spans="2:20" outlineLevel="1">
      <c r="B19" s="49">
        <f>+B17+1</f>
        <v>46125</v>
      </c>
      <c r="C19" s="50">
        <v>4</v>
      </c>
      <c r="D19" s="51">
        <v>4</v>
      </c>
      <c r="E19" s="52">
        <v>600</v>
      </c>
      <c r="F19" s="53">
        <v>180</v>
      </c>
      <c r="G19" s="54">
        <f t="shared" si="0"/>
        <v>0.3</v>
      </c>
      <c r="H19" s="55">
        <f t="shared" ref="H19:H25" si="9">IFERROR(F19/D19,"")</f>
        <v>45</v>
      </c>
      <c r="I19" s="50">
        <v>4</v>
      </c>
      <c r="J19" s="51">
        <v>4</v>
      </c>
      <c r="K19" s="52">
        <v>600</v>
      </c>
      <c r="L19" s="53">
        <v>690</v>
      </c>
      <c r="M19" s="54">
        <f t="shared" si="1"/>
        <v>1.1499999999999999</v>
      </c>
      <c r="N19" s="55">
        <f t="shared" ref="N19:N25" si="10">IFERROR(L19/J19,"")</f>
        <v>172.5</v>
      </c>
      <c r="O19" s="50">
        <f t="shared" ref="O19:R23" si="11">IF((C19+I19)=0,"",(C19+I19))</f>
        <v>8</v>
      </c>
      <c r="P19" s="51">
        <f t="shared" si="11"/>
        <v>8</v>
      </c>
      <c r="Q19" s="52">
        <f t="shared" si="11"/>
        <v>1200</v>
      </c>
      <c r="R19" s="53">
        <f t="shared" si="11"/>
        <v>870</v>
      </c>
      <c r="S19" s="54">
        <f t="shared" si="3"/>
        <v>0.72499999999999998</v>
      </c>
      <c r="T19" s="55">
        <f t="shared" ref="T19:T25" si="12">IFERROR(R19/P19,"")</f>
        <v>108.75</v>
      </c>
    </row>
    <row r="20" spans="2:20" outlineLevel="1">
      <c r="B20" s="14">
        <f t="shared" ref="B20:B25" si="13">+B19+1</f>
        <v>46126</v>
      </c>
      <c r="C20" s="15">
        <v>4</v>
      </c>
      <c r="D20" s="16">
        <v>4</v>
      </c>
      <c r="E20" s="17">
        <v>600</v>
      </c>
      <c r="F20" s="18">
        <v>210</v>
      </c>
      <c r="G20" s="19">
        <f t="shared" si="0"/>
        <v>0.35</v>
      </c>
      <c r="H20" s="20">
        <f t="shared" si="9"/>
        <v>52.5</v>
      </c>
      <c r="I20" s="15">
        <v>4</v>
      </c>
      <c r="J20" s="16">
        <v>4</v>
      </c>
      <c r="K20" s="17">
        <v>600</v>
      </c>
      <c r="L20" s="18">
        <v>840</v>
      </c>
      <c r="M20" s="19">
        <f t="shared" si="1"/>
        <v>1.4</v>
      </c>
      <c r="N20" s="20">
        <f t="shared" si="10"/>
        <v>210</v>
      </c>
      <c r="O20" s="15">
        <f t="shared" si="11"/>
        <v>8</v>
      </c>
      <c r="P20" s="16">
        <f t="shared" si="11"/>
        <v>8</v>
      </c>
      <c r="Q20" s="17">
        <f t="shared" si="11"/>
        <v>1200</v>
      </c>
      <c r="R20" s="18">
        <f t="shared" si="11"/>
        <v>1050</v>
      </c>
      <c r="S20" s="19">
        <f t="shared" si="3"/>
        <v>0.875</v>
      </c>
      <c r="T20" s="20">
        <f t="shared" si="12"/>
        <v>131.25</v>
      </c>
    </row>
    <row r="21" spans="2:20" outlineLevel="1">
      <c r="B21" s="14">
        <f t="shared" si="13"/>
        <v>46127</v>
      </c>
      <c r="C21" s="15">
        <v>4</v>
      </c>
      <c r="D21" s="16">
        <v>4</v>
      </c>
      <c r="E21" s="17">
        <v>240</v>
      </c>
      <c r="F21" s="18">
        <v>240</v>
      </c>
      <c r="G21" s="19">
        <f t="shared" si="0"/>
        <v>1</v>
      </c>
      <c r="H21" s="20">
        <f t="shared" si="9"/>
        <v>60</v>
      </c>
      <c r="I21" s="15">
        <v>3</v>
      </c>
      <c r="J21" s="16">
        <v>3</v>
      </c>
      <c r="K21" s="17">
        <v>600</v>
      </c>
      <c r="L21" s="18">
        <v>540</v>
      </c>
      <c r="M21" s="19">
        <f t="shared" si="1"/>
        <v>0.9</v>
      </c>
      <c r="N21" s="20">
        <f t="shared" si="10"/>
        <v>180</v>
      </c>
      <c r="O21" s="15">
        <f t="shared" si="11"/>
        <v>7</v>
      </c>
      <c r="P21" s="16">
        <f t="shared" si="11"/>
        <v>7</v>
      </c>
      <c r="Q21" s="17">
        <f t="shared" si="11"/>
        <v>840</v>
      </c>
      <c r="R21" s="18">
        <f t="shared" si="11"/>
        <v>780</v>
      </c>
      <c r="S21" s="19">
        <f t="shared" si="3"/>
        <v>0.9285714285714286</v>
      </c>
      <c r="T21" s="20">
        <f t="shared" si="12"/>
        <v>111.42857142857143</v>
      </c>
    </row>
    <row r="22" spans="2:20" outlineLevel="1">
      <c r="B22" s="14">
        <f t="shared" si="13"/>
        <v>46128</v>
      </c>
      <c r="C22" s="15">
        <v>3</v>
      </c>
      <c r="D22" s="16">
        <v>3</v>
      </c>
      <c r="E22" s="17">
        <v>600</v>
      </c>
      <c r="F22" s="18">
        <v>405</v>
      </c>
      <c r="G22" s="19">
        <f t="shared" si="0"/>
        <v>0.67500000000000004</v>
      </c>
      <c r="H22" s="20">
        <f t="shared" si="9"/>
        <v>135</v>
      </c>
      <c r="I22" s="15">
        <v>3</v>
      </c>
      <c r="J22" s="16">
        <v>3</v>
      </c>
      <c r="K22" s="17">
        <v>600</v>
      </c>
      <c r="L22" s="18">
        <v>405</v>
      </c>
      <c r="M22" s="19">
        <f t="shared" si="1"/>
        <v>0.67500000000000004</v>
      </c>
      <c r="N22" s="20">
        <f t="shared" si="10"/>
        <v>135</v>
      </c>
      <c r="O22" s="15">
        <f t="shared" si="11"/>
        <v>6</v>
      </c>
      <c r="P22" s="16">
        <f t="shared" si="11"/>
        <v>6</v>
      </c>
      <c r="Q22" s="17">
        <f t="shared" si="11"/>
        <v>1200</v>
      </c>
      <c r="R22" s="18">
        <f t="shared" si="11"/>
        <v>810</v>
      </c>
      <c r="S22" s="19">
        <f t="shared" si="3"/>
        <v>0.67500000000000004</v>
      </c>
      <c r="T22" s="20">
        <f t="shared" si="12"/>
        <v>135</v>
      </c>
    </row>
    <row r="23" spans="2:20" outlineLevel="1">
      <c r="B23" s="14">
        <f t="shared" si="13"/>
        <v>46129</v>
      </c>
      <c r="C23" s="15">
        <v>3</v>
      </c>
      <c r="D23" s="16">
        <v>3</v>
      </c>
      <c r="E23" s="17">
        <v>600</v>
      </c>
      <c r="F23" s="18">
        <v>540</v>
      </c>
      <c r="G23" s="19">
        <f t="shared" si="0"/>
        <v>0.9</v>
      </c>
      <c r="H23" s="20">
        <f t="shared" si="9"/>
        <v>180</v>
      </c>
      <c r="I23" s="15">
        <v>3</v>
      </c>
      <c r="J23" s="16">
        <v>3</v>
      </c>
      <c r="K23" s="17">
        <v>600</v>
      </c>
      <c r="L23" s="18">
        <v>405</v>
      </c>
      <c r="M23" s="19">
        <f t="shared" si="1"/>
        <v>0.67500000000000004</v>
      </c>
      <c r="N23" s="20">
        <f t="shared" si="10"/>
        <v>135</v>
      </c>
      <c r="O23" s="15">
        <f t="shared" si="11"/>
        <v>6</v>
      </c>
      <c r="P23" s="16">
        <f t="shared" si="11"/>
        <v>6</v>
      </c>
      <c r="Q23" s="17">
        <f t="shared" si="11"/>
        <v>1200</v>
      </c>
      <c r="R23" s="18">
        <f t="shared" si="11"/>
        <v>945</v>
      </c>
      <c r="S23" s="19">
        <f t="shared" si="3"/>
        <v>0.78749999999999998</v>
      </c>
      <c r="T23" s="20">
        <f t="shared" si="12"/>
        <v>157.5</v>
      </c>
    </row>
    <row r="24" spans="2:20" outlineLevel="1">
      <c r="B24" s="14">
        <f t="shared" si="13"/>
        <v>46130</v>
      </c>
      <c r="C24" s="15"/>
      <c r="D24" s="16"/>
      <c r="E24" s="17"/>
      <c r="F24" s="18"/>
      <c r="G24" s="19" t="str">
        <f t="shared" si="0"/>
        <v/>
      </c>
      <c r="H24" s="20" t="str">
        <f t="shared" si="9"/>
        <v/>
      </c>
      <c r="I24" s="15"/>
      <c r="J24" s="16"/>
      <c r="K24" s="17"/>
      <c r="L24" s="18"/>
      <c r="M24" s="19" t="str">
        <f t="shared" si="1"/>
        <v/>
      </c>
      <c r="N24" s="20" t="str">
        <f t="shared" si="10"/>
        <v/>
      </c>
      <c r="O24" s="15" t="str">
        <f>IF((C24+I24)=0,"",(C24+I24))</f>
        <v/>
      </c>
      <c r="P24" s="16" t="str">
        <f>IF((D24+J24)=0,"",(D24+J24))</f>
        <v/>
      </c>
      <c r="Q24" s="17" t="s">
        <v>18</v>
      </c>
      <c r="R24" s="18" t="str">
        <f>IF((F24+L24)=0,"",(F24+L24))</f>
        <v/>
      </c>
      <c r="S24" s="19" t="str">
        <f t="shared" si="3"/>
        <v/>
      </c>
      <c r="T24" s="20" t="str">
        <f t="shared" si="12"/>
        <v/>
      </c>
    </row>
    <row r="25" spans="2:20" outlineLevel="1">
      <c r="B25" s="56">
        <f t="shared" si="13"/>
        <v>46131</v>
      </c>
      <c r="C25" s="57"/>
      <c r="D25" s="58"/>
      <c r="E25" s="59"/>
      <c r="F25" s="60"/>
      <c r="G25" s="61" t="str">
        <f t="shared" si="0"/>
        <v/>
      </c>
      <c r="H25" s="62" t="str">
        <f t="shared" si="9"/>
        <v/>
      </c>
      <c r="I25" s="57"/>
      <c r="J25" s="58"/>
      <c r="K25" s="59"/>
      <c r="L25" s="60"/>
      <c r="M25" s="61" t="str">
        <f t="shared" si="1"/>
        <v/>
      </c>
      <c r="N25" s="62" t="str">
        <f t="shared" si="10"/>
        <v/>
      </c>
      <c r="O25" s="57" t="str">
        <f>IF((C25+I25)=0,"",(C25+I25))</f>
        <v/>
      </c>
      <c r="P25" s="58" t="str">
        <f>IF((D25+J25)=0,"",(D25+J25))</f>
        <v/>
      </c>
      <c r="Q25" s="59" t="s">
        <v>18</v>
      </c>
      <c r="R25" s="60" t="str">
        <f>IF((F25+L25)=0,"",(F25+L25))</f>
        <v/>
      </c>
      <c r="S25" s="61" t="str">
        <f t="shared" si="3"/>
        <v/>
      </c>
      <c r="T25" s="62" t="str">
        <f t="shared" si="12"/>
        <v/>
      </c>
    </row>
    <row r="26" spans="2:20">
      <c r="B26" s="28" t="s">
        <v>14</v>
      </c>
      <c r="C26" s="29">
        <f>IFERROR(AVERAGE(C19:C25),"")</f>
        <v>3.6</v>
      </c>
      <c r="D26" s="30">
        <f>IFERROR(AVERAGE(D19:D25),"")</f>
        <v>3.6</v>
      </c>
      <c r="E26" s="31">
        <f>SUM(E19:E25)</f>
        <v>2640</v>
      </c>
      <c r="F26" s="32">
        <f>SUM(F19:F25)</f>
        <v>1575</v>
      </c>
      <c r="G26" s="33">
        <f t="shared" si="0"/>
        <v>0.59659090909090906</v>
      </c>
      <c r="H26" s="34">
        <f>IFERROR(AVERAGE(H19:H25),"")</f>
        <v>94.5</v>
      </c>
      <c r="I26" s="29">
        <f>IFERROR(AVERAGE(I19:I25),"")</f>
        <v>3.4</v>
      </c>
      <c r="J26" s="30">
        <f>IFERROR(AVERAGE(J19:J25),"")</f>
        <v>3.4</v>
      </c>
      <c r="K26" s="31">
        <f>SUM(K19:K25)</f>
        <v>3000</v>
      </c>
      <c r="L26" s="32">
        <f>SUM(L19:L25)</f>
        <v>2880</v>
      </c>
      <c r="M26" s="33">
        <f t="shared" si="1"/>
        <v>0.96</v>
      </c>
      <c r="N26" s="34">
        <f>IFERROR(AVERAGE(N19:N25),"")</f>
        <v>166.5</v>
      </c>
      <c r="O26" s="29">
        <f>IFERROR(AVERAGE(O19:O25),"")</f>
        <v>7</v>
      </c>
      <c r="P26" s="30">
        <f>IFERROR(AVERAGE(P19:P25),"")</f>
        <v>7</v>
      </c>
      <c r="Q26" s="31">
        <f>SUM(Q19:Q25)</f>
        <v>5640</v>
      </c>
      <c r="R26" s="32">
        <f>SUM(R19:R25)</f>
        <v>4455</v>
      </c>
      <c r="S26" s="33">
        <f t="shared" si="3"/>
        <v>0.78989361702127658</v>
      </c>
      <c r="T26" s="34">
        <f>IFERROR(AVERAGE(T19:T25),"")</f>
        <v>128.78571428571428</v>
      </c>
    </row>
    <row r="27" spans="2:20" outlineLevel="1">
      <c r="B27" s="49">
        <f>+B25+1</f>
        <v>46132</v>
      </c>
      <c r="C27" s="50">
        <v>3</v>
      </c>
      <c r="D27" s="51">
        <v>3</v>
      </c>
      <c r="E27" s="52">
        <v>600</v>
      </c>
      <c r="F27" s="53">
        <v>465</v>
      </c>
      <c r="G27" s="54">
        <f t="shared" si="0"/>
        <v>0.77500000000000002</v>
      </c>
      <c r="H27" s="55">
        <f t="shared" ref="H27:H33" si="14">IFERROR(F27/D27,"")</f>
        <v>155</v>
      </c>
      <c r="I27" s="50">
        <v>3</v>
      </c>
      <c r="J27" s="51">
        <v>3</v>
      </c>
      <c r="K27" s="52">
        <v>600</v>
      </c>
      <c r="L27" s="53">
        <v>450</v>
      </c>
      <c r="M27" s="54">
        <f t="shared" si="1"/>
        <v>0.75</v>
      </c>
      <c r="N27" s="55">
        <f t="shared" ref="N27:N33" si="15">IFERROR(L27/J27,"")</f>
        <v>150</v>
      </c>
      <c r="O27" s="50">
        <f t="shared" ref="O27:R31" si="16">IF((C27+I27)=0,"",(C27+I27))</f>
        <v>6</v>
      </c>
      <c r="P27" s="51">
        <f t="shared" si="16"/>
        <v>6</v>
      </c>
      <c r="Q27" s="52">
        <f t="shared" si="16"/>
        <v>1200</v>
      </c>
      <c r="R27" s="53">
        <f t="shared" si="16"/>
        <v>915</v>
      </c>
      <c r="S27" s="54">
        <f t="shared" si="3"/>
        <v>0.76249999999999996</v>
      </c>
      <c r="T27" s="55">
        <f t="shared" ref="T27:T33" si="17">IFERROR(R27/P27,"")</f>
        <v>152.5</v>
      </c>
    </row>
    <row r="28" spans="2:20" outlineLevel="1">
      <c r="B28" s="14">
        <f t="shared" ref="B28:B33" si="18">+B27+1</f>
        <v>46133</v>
      </c>
      <c r="C28" s="15">
        <v>3</v>
      </c>
      <c r="D28" s="16">
        <v>3</v>
      </c>
      <c r="E28" s="17">
        <v>600</v>
      </c>
      <c r="F28" s="18">
        <v>570</v>
      </c>
      <c r="G28" s="19">
        <f t="shared" si="0"/>
        <v>0.95</v>
      </c>
      <c r="H28" s="20">
        <f t="shared" si="14"/>
        <v>190</v>
      </c>
      <c r="I28" s="15">
        <v>3</v>
      </c>
      <c r="J28" s="16">
        <v>3</v>
      </c>
      <c r="K28" s="17">
        <v>600</v>
      </c>
      <c r="L28" s="18">
        <v>510</v>
      </c>
      <c r="M28" s="19">
        <f t="shared" si="1"/>
        <v>0.85</v>
      </c>
      <c r="N28" s="20">
        <f t="shared" si="15"/>
        <v>170</v>
      </c>
      <c r="O28" s="15">
        <f t="shared" si="16"/>
        <v>6</v>
      </c>
      <c r="P28" s="16">
        <f t="shared" si="16"/>
        <v>6</v>
      </c>
      <c r="Q28" s="17">
        <f t="shared" si="16"/>
        <v>1200</v>
      </c>
      <c r="R28" s="18">
        <f t="shared" si="16"/>
        <v>1080</v>
      </c>
      <c r="S28" s="19">
        <f t="shared" si="3"/>
        <v>0.9</v>
      </c>
      <c r="T28" s="20">
        <f t="shared" si="17"/>
        <v>180</v>
      </c>
    </row>
    <row r="29" spans="2:20" outlineLevel="1">
      <c r="B29" s="14">
        <f t="shared" si="18"/>
        <v>46134</v>
      </c>
      <c r="C29" s="15">
        <v>3</v>
      </c>
      <c r="D29" s="16">
        <v>3</v>
      </c>
      <c r="E29" s="17">
        <v>600</v>
      </c>
      <c r="F29" s="18">
        <v>690</v>
      </c>
      <c r="G29" s="19">
        <f t="shared" si="0"/>
        <v>1.1499999999999999</v>
      </c>
      <c r="H29" s="20">
        <f t="shared" si="14"/>
        <v>230</v>
      </c>
      <c r="I29" s="15">
        <v>3</v>
      </c>
      <c r="J29" s="16">
        <v>3</v>
      </c>
      <c r="K29" s="17">
        <v>600</v>
      </c>
      <c r="L29" s="18">
        <v>390</v>
      </c>
      <c r="M29" s="19">
        <f t="shared" si="1"/>
        <v>0.65</v>
      </c>
      <c r="N29" s="20">
        <f t="shared" si="15"/>
        <v>130</v>
      </c>
      <c r="O29" s="15">
        <f t="shared" si="16"/>
        <v>6</v>
      </c>
      <c r="P29" s="16">
        <f t="shared" si="16"/>
        <v>6</v>
      </c>
      <c r="Q29" s="17">
        <f t="shared" si="16"/>
        <v>1200</v>
      </c>
      <c r="R29" s="18">
        <f t="shared" si="16"/>
        <v>1080</v>
      </c>
      <c r="S29" s="19">
        <f t="shared" si="3"/>
        <v>0.9</v>
      </c>
      <c r="T29" s="20">
        <f t="shared" si="17"/>
        <v>180</v>
      </c>
    </row>
    <row r="30" spans="2:20" outlineLevel="1">
      <c r="B30" s="14">
        <f t="shared" si="18"/>
        <v>46135</v>
      </c>
      <c r="C30" s="15">
        <v>3</v>
      </c>
      <c r="D30" s="16">
        <v>3</v>
      </c>
      <c r="E30" s="17">
        <v>600</v>
      </c>
      <c r="F30" s="18">
        <v>600</v>
      </c>
      <c r="G30" s="19">
        <f t="shared" si="0"/>
        <v>1</v>
      </c>
      <c r="H30" s="20">
        <f t="shared" si="14"/>
        <v>200</v>
      </c>
      <c r="I30" s="15">
        <v>3</v>
      </c>
      <c r="J30" s="16">
        <v>3</v>
      </c>
      <c r="K30" s="17">
        <v>600</v>
      </c>
      <c r="L30" s="18">
        <v>600</v>
      </c>
      <c r="M30" s="19">
        <f t="shared" si="1"/>
        <v>1</v>
      </c>
      <c r="N30" s="20">
        <f t="shared" si="15"/>
        <v>200</v>
      </c>
      <c r="O30" s="15">
        <f t="shared" si="16"/>
        <v>6</v>
      </c>
      <c r="P30" s="16">
        <f t="shared" si="16"/>
        <v>6</v>
      </c>
      <c r="Q30" s="17">
        <f t="shared" si="16"/>
        <v>1200</v>
      </c>
      <c r="R30" s="18">
        <f t="shared" si="16"/>
        <v>1200</v>
      </c>
      <c r="S30" s="19">
        <f t="shared" si="3"/>
        <v>1</v>
      </c>
      <c r="T30" s="20">
        <f t="shared" si="17"/>
        <v>200</v>
      </c>
    </row>
    <row r="31" spans="2:20" outlineLevel="1">
      <c r="B31" s="14">
        <f t="shared" si="18"/>
        <v>46136</v>
      </c>
      <c r="C31" s="15">
        <v>3</v>
      </c>
      <c r="D31" s="16">
        <v>3</v>
      </c>
      <c r="E31" s="17">
        <v>600</v>
      </c>
      <c r="F31" s="18">
        <f>750-150</f>
        <v>600</v>
      </c>
      <c r="G31" s="19">
        <f t="shared" si="0"/>
        <v>1</v>
      </c>
      <c r="H31" s="20">
        <f t="shared" si="14"/>
        <v>200</v>
      </c>
      <c r="I31" s="15">
        <v>3</v>
      </c>
      <c r="J31" s="16">
        <v>3</v>
      </c>
      <c r="K31" s="17">
        <v>600</v>
      </c>
      <c r="L31" s="18">
        <f>435+150</f>
        <v>585</v>
      </c>
      <c r="M31" s="19">
        <f t="shared" si="1"/>
        <v>0.97499999999999998</v>
      </c>
      <c r="N31" s="20">
        <f t="shared" si="15"/>
        <v>195</v>
      </c>
      <c r="O31" s="15">
        <f t="shared" si="16"/>
        <v>6</v>
      </c>
      <c r="P31" s="16">
        <f t="shared" si="16"/>
        <v>6</v>
      </c>
      <c r="Q31" s="17">
        <f t="shared" si="16"/>
        <v>1200</v>
      </c>
      <c r="R31" s="18">
        <f t="shared" si="16"/>
        <v>1185</v>
      </c>
      <c r="S31" s="19">
        <f t="shared" si="3"/>
        <v>0.98750000000000004</v>
      </c>
      <c r="T31" s="20">
        <f t="shared" si="17"/>
        <v>197.5</v>
      </c>
    </row>
    <row r="32" spans="2:20" outlineLevel="1">
      <c r="B32" s="56">
        <f t="shared" si="18"/>
        <v>46137</v>
      </c>
      <c r="C32" s="57"/>
      <c r="D32" s="58"/>
      <c r="E32" s="59"/>
      <c r="F32" s="60"/>
      <c r="G32" s="61" t="str">
        <f t="shared" si="0"/>
        <v/>
      </c>
      <c r="H32" s="62" t="str">
        <f t="shared" si="14"/>
        <v/>
      </c>
      <c r="I32" s="57"/>
      <c r="J32" s="58"/>
      <c r="K32" s="59"/>
      <c r="L32" s="60"/>
      <c r="M32" s="61" t="str">
        <f t="shared" si="1"/>
        <v/>
      </c>
      <c r="N32" s="62" t="str">
        <f t="shared" si="15"/>
        <v/>
      </c>
      <c r="O32" s="57" t="str">
        <f>IF((C32+I32)=0,"",(C32+I32))</f>
        <v/>
      </c>
      <c r="P32" s="58" t="str">
        <f>IF((D32+J32)=0,"",(D32+J32))</f>
        <v/>
      </c>
      <c r="Q32" s="59"/>
      <c r="R32" s="60" t="str">
        <f>IF((F32+L32)=0,"",(F32+L32))</f>
        <v/>
      </c>
      <c r="S32" s="61" t="str">
        <f t="shared" si="3"/>
        <v/>
      </c>
      <c r="T32" s="62" t="str">
        <f t="shared" si="17"/>
        <v/>
      </c>
    </row>
    <row r="33" spans="2:20" outlineLevel="1">
      <c r="B33" s="56">
        <f t="shared" si="18"/>
        <v>46138</v>
      </c>
      <c r="C33" s="57"/>
      <c r="D33" s="58"/>
      <c r="E33" s="59"/>
      <c r="F33" s="60"/>
      <c r="G33" s="61" t="str">
        <f t="shared" si="0"/>
        <v/>
      </c>
      <c r="H33" s="62" t="str">
        <f t="shared" si="14"/>
        <v/>
      </c>
      <c r="I33" s="57"/>
      <c r="J33" s="58"/>
      <c r="K33" s="59"/>
      <c r="L33" s="60"/>
      <c r="M33" s="61" t="str">
        <f t="shared" si="1"/>
        <v/>
      </c>
      <c r="N33" s="62" t="str">
        <f t="shared" si="15"/>
        <v/>
      </c>
      <c r="O33" s="57" t="str">
        <f>IF((C33+I33)=0,"",(C33+I33))</f>
        <v/>
      </c>
      <c r="P33" s="58" t="str">
        <f>IF((D33+J33)=0,"",(D33+J33))</f>
        <v/>
      </c>
      <c r="Q33" s="59"/>
      <c r="R33" s="60" t="str">
        <f>IF((F33+L33)=0,"",(F33+L33))</f>
        <v/>
      </c>
      <c r="S33" s="61" t="str">
        <f t="shared" si="3"/>
        <v/>
      </c>
      <c r="T33" s="62" t="str">
        <f t="shared" si="17"/>
        <v/>
      </c>
    </row>
    <row r="34" spans="2:20">
      <c r="B34" s="28" t="s">
        <v>15</v>
      </c>
      <c r="C34" s="29">
        <f>IFERROR(AVERAGE(C27:C33),"")</f>
        <v>3</v>
      </c>
      <c r="D34" s="30">
        <f>IFERROR(AVERAGE(D27:D33),"")</f>
        <v>3</v>
      </c>
      <c r="E34" s="31">
        <f>SUM(E27:E33)</f>
        <v>3000</v>
      </c>
      <c r="F34" s="32">
        <f>SUM(F27:F33)</f>
        <v>2925</v>
      </c>
      <c r="G34" s="33">
        <f t="shared" si="0"/>
        <v>0.97499999999999998</v>
      </c>
      <c r="H34" s="34">
        <f>IFERROR(AVERAGE(H27:H33),"")</f>
        <v>195</v>
      </c>
      <c r="I34" s="29">
        <f>IFERROR(AVERAGE(I27:I33),"")</f>
        <v>3</v>
      </c>
      <c r="J34" s="30">
        <f>IFERROR(AVERAGE(J27:J33),"")</f>
        <v>3</v>
      </c>
      <c r="K34" s="31">
        <f>SUM(K27:K33)</f>
        <v>3000</v>
      </c>
      <c r="L34" s="32">
        <f>SUM(L27:L33)</f>
        <v>2535</v>
      </c>
      <c r="M34" s="33">
        <f t="shared" si="1"/>
        <v>0.84499999999999997</v>
      </c>
      <c r="N34" s="34">
        <f>IFERROR(AVERAGE(N27:N33),"")</f>
        <v>169</v>
      </c>
      <c r="O34" s="29">
        <f>IFERROR(AVERAGE(O27:O33),"")</f>
        <v>6</v>
      </c>
      <c r="P34" s="30">
        <f>IFERROR(AVERAGE(P27:P33),"")</f>
        <v>6</v>
      </c>
      <c r="Q34" s="31">
        <f>SUM(Q27:Q33)</f>
        <v>6000</v>
      </c>
      <c r="R34" s="32">
        <f>SUM(R27:R33)</f>
        <v>5460</v>
      </c>
      <c r="S34" s="33">
        <f t="shared" si="3"/>
        <v>0.91</v>
      </c>
      <c r="T34" s="34">
        <f>IFERROR(AVERAGE(T27:T33),"")</f>
        <v>182</v>
      </c>
    </row>
    <row r="35" spans="2:20" outlineLevel="1">
      <c r="B35" s="56">
        <f>+B33+1</f>
        <v>46139</v>
      </c>
      <c r="C35" s="57">
        <v>3</v>
      </c>
      <c r="D35" s="58"/>
      <c r="E35" s="59">
        <v>600</v>
      </c>
      <c r="F35" s="60"/>
      <c r="G35" s="61">
        <f t="shared" si="0"/>
        <v>0</v>
      </c>
      <c r="H35" s="62" t="str">
        <f>IFERROR(F35/D35,"")</f>
        <v/>
      </c>
      <c r="I35" s="57">
        <v>3</v>
      </c>
      <c r="J35" s="58"/>
      <c r="K35" s="59">
        <v>600</v>
      </c>
      <c r="L35" s="60"/>
      <c r="M35" s="61">
        <f t="shared" si="1"/>
        <v>0</v>
      </c>
      <c r="N35" s="62" t="str">
        <f>IFERROR(L35/J35,"")</f>
        <v/>
      </c>
      <c r="O35" s="57">
        <f t="shared" ref="O35:R38" si="19">IF((C35+I35)=0,"",(C35+I35))</f>
        <v>6</v>
      </c>
      <c r="P35" s="58" t="str">
        <f t="shared" si="19"/>
        <v/>
      </c>
      <c r="Q35" s="59">
        <f t="shared" si="19"/>
        <v>1200</v>
      </c>
      <c r="R35" s="60" t="str">
        <f t="shared" si="19"/>
        <v/>
      </c>
      <c r="S35" s="61" t="str">
        <f t="shared" si="3"/>
        <v/>
      </c>
      <c r="T35" s="62" t="str">
        <f>IFERROR(R35/P35,"")</f>
        <v/>
      </c>
    </row>
    <row r="36" spans="2:20" outlineLevel="1">
      <c r="B36" s="56">
        <f>+B35+1</f>
        <v>46140</v>
      </c>
      <c r="C36" s="57">
        <v>3</v>
      </c>
      <c r="D36" s="58"/>
      <c r="E36" s="59">
        <v>600</v>
      </c>
      <c r="F36" s="60"/>
      <c r="G36" s="61">
        <f t="shared" si="0"/>
        <v>0</v>
      </c>
      <c r="H36" s="62" t="str">
        <f>IFERROR(F36/D36,"")</f>
        <v/>
      </c>
      <c r="I36" s="57">
        <v>3</v>
      </c>
      <c r="J36" s="58"/>
      <c r="K36" s="59">
        <v>600</v>
      </c>
      <c r="L36" s="60"/>
      <c r="M36" s="61">
        <f t="shared" si="1"/>
        <v>0</v>
      </c>
      <c r="N36" s="62" t="str">
        <f>IFERROR(L36/J36,"")</f>
        <v/>
      </c>
      <c r="O36" s="57">
        <f t="shared" si="19"/>
        <v>6</v>
      </c>
      <c r="P36" s="58" t="str">
        <f t="shared" si="19"/>
        <v/>
      </c>
      <c r="Q36" s="59">
        <f t="shared" si="19"/>
        <v>1200</v>
      </c>
      <c r="R36" s="60" t="str">
        <f t="shared" si="19"/>
        <v/>
      </c>
      <c r="S36" s="61" t="str">
        <f t="shared" si="3"/>
        <v/>
      </c>
      <c r="T36" s="62" t="str">
        <f>IFERROR(R36/P36,"")</f>
        <v/>
      </c>
    </row>
    <row r="37" spans="2:20" outlineLevel="1">
      <c r="B37" s="56">
        <f>+B36+1</f>
        <v>46141</v>
      </c>
      <c r="C37" s="57">
        <v>3</v>
      </c>
      <c r="D37" s="58"/>
      <c r="E37" s="59">
        <v>600</v>
      </c>
      <c r="F37" s="60"/>
      <c r="G37" s="61">
        <f t="shared" si="0"/>
        <v>0</v>
      </c>
      <c r="H37" s="62" t="str">
        <f>IFERROR(F37/D37,"")</f>
        <v/>
      </c>
      <c r="I37" s="57">
        <v>3</v>
      </c>
      <c r="J37" s="58"/>
      <c r="K37" s="59">
        <v>600</v>
      </c>
      <c r="L37" s="60"/>
      <c r="M37" s="61">
        <f t="shared" si="1"/>
        <v>0</v>
      </c>
      <c r="N37" s="62" t="str">
        <f>IFERROR(L37/J37,"")</f>
        <v/>
      </c>
      <c r="O37" s="57">
        <f t="shared" si="19"/>
        <v>6</v>
      </c>
      <c r="P37" s="58" t="str">
        <f t="shared" si="19"/>
        <v/>
      </c>
      <c r="Q37" s="59">
        <f t="shared" si="19"/>
        <v>1200</v>
      </c>
      <c r="R37" s="60" t="str">
        <f t="shared" si="19"/>
        <v/>
      </c>
      <c r="S37" s="61" t="str">
        <f t="shared" si="3"/>
        <v/>
      </c>
      <c r="T37" s="62" t="str">
        <f>IFERROR(R37/P37,"")</f>
        <v/>
      </c>
    </row>
    <row r="38" spans="2:20" outlineLevel="1">
      <c r="B38" s="56">
        <f>+B37+1</f>
        <v>46142</v>
      </c>
      <c r="C38" s="57">
        <v>3</v>
      </c>
      <c r="D38" s="58"/>
      <c r="E38" s="59">
        <v>600</v>
      </c>
      <c r="F38" s="60"/>
      <c r="G38" s="61">
        <f t="shared" si="0"/>
        <v>0</v>
      </c>
      <c r="H38" s="62" t="str">
        <f>IFERROR(F38/D38,"")</f>
        <v/>
      </c>
      <c r="I38" s="57">
        <v>3</v>
      </c>
      <c r="J38" s="58"/>
      <c r="K38" s="59">
        <v>600</v>
      </c>
      <c r="L38" s="60"/>
      <c r="M38" s="61">
        <f t="shared" si="1"/>
        <v>0</v>
      </c>
      <c r="N38" s="62" t="str">
        <f>IFERROR(L38/J38,"")</f>
        <v/>
      </c>
      <c r="O38" s="57">
        <f t="shared" si="19"/>
        <v>6</v>
      </c>
      <c r="P38" s="58" t="str">
        <f t="shared" si="19"/>
        <v/>
      </c>
      <c r="Q38" s="59">
        <f t="shared" si="19"/>
        <v>1200</v>
      </c>
      <c r="R38" s="60" t="str">
        <f t="shared" si="19"/>
        <v/>
      </c>
      <c r="S38" s="61" t="str">
        <f t="shared" si="3"/>
        <v/>
      </c>
      <c r="T38" s="62" t="str">
        <f>IFERROR(R38/P38,"")</f>
        <v/>
      </c>
    </row>
    <row r="39" spans="2:20">
      <c r="B39" s="28" t="s">
        <v>17</v>
      </c>
      <c r="C39" s="29">
        <f>IFERROR(AVERAGE(C35:C38),"")</f>
        <v>3</v>
      </c>
      <c r="D39" s="30" t="str">
        <f>IFERROR(AVERAGE(D35:D38),"")</f>
        <v/>
      </c>
      <c r="E39" s="31">
        <f>SUM(E35:E38)</f>
        <v>2400</v>
      </c>
      <c r="F39" s="32">
        <f>SUM(F35:F38)</f>
        <v>0</v>
      </c>
      <c r="G39" s="33">
        <f t="shared" si="0"/>
        <v>0</v>
      </c>
      <c r="H39" s="34" t="str">
        <f>IFERROR(AVERAGE(H35:H38),"")</f>
        <v/>
      </c>
      <c r="I39" s="29">
        <f>IFERROR(AVERAGE(I35:I38),"")</f>
        <v>3</v>
      </c>
      <c r="J39" s="30" t="str">
        <f>IFERROR(AVERAGE(J35:J38),"")</f>
        <v/>
      </c>
      <c r="K39" s="31">
        <f>SUM(K35:K38)</f>
        <v>2400</v>
      </c>
      <c r="L39" s="32">
        <f>SUM(L35:L38)</f>
        <v>0</v>
      </c>
      <c r="M39" s="33">
        <f t="shared" si="1"/>
        <v>0</v>
      </c>
      <c r="N39" s="34" t="str">
        <f>IFERROR(AVERAGE(N35:N38),"")</f>
        <v/>
      </c>
      <c r="O39" s="29">
        <f>IFERROR(AVERAGE(O35:O38),"")</f>
        <v>6</v>
      </c>
      <c r="P39" s="30" t="str">
        <f>IFERROR(AVERAGE(P35:P38),"")</f>
        <v/>
      </c>
      <c r="Q39" s="31">
        <f>SUM(Q35:Q38)</f>
        <v>4800</v>
      </c>
      <c r="R39" s="32">
        <f>SUM(R35:R38)</f>
        <v>0</v>
      </c>
      <c r="S39" s="33">
        <f t="shared" si="3"/>
        <v>0</v>
      </c>
      <c r="T39" s="34" t="str">
        <f>IFERROR(AVERAGE(T35:T38),"")</f>
        <v/>
      </c>
    </row>
    <row r="40" spans="2:20" ht="13.5" customHeight="1" thickBot="1">
      <c r="B40" s="35" t="s">
        <v>16</v>
      </c>
      <c r="C40" s="36">
        <f>IFERROR(AVERAGE(C10,C18,C26,C34,C39),"")</f>
        <v>3.4200000000000004</v>
      </c>
      <c r="D40" s="37">
        <f>IFERROR(AVERAGE(D10,D18,D26,D34,D39),"")</f>
        <v>3.5249999999999999</v>
      </c>
      <c r="E40" s="38">
        <f>SUM(E10,E18,E26,E34,E39)</f>
        <v>13440</v>
      </c>
      <c r="F40" s="39">
        <f>SUM(F10,F18,F26,F34,F39)</f>
        <v>9345</v>
      </c>
      <c r="G40" s="40">
        <f t="shared" si="0"/>
        <v>0.6953125</v>
      </c>
      <c r="H40" s="41">
        <f>IFERROR(AVERAGE(H10,H18,H26,H34,H39),"")</f>
        <v>153.9375</v>
      </c>
      <c r="I40" s="36">
        <f>IFERROR(AVERAGE(I10,I18,I26,I34,I39),"")</f>
        <v>3.08</v>
      </c>
      <c r="J40" s="37">
        <f>IFERROR(AVERAGE(J10,J18,J26,J34,J39),"")</f>
        <v>3.1</v>
      </c>
      <c r="K40" s="38">
        <f>SUM(K10,K18,K26,K34,K39)</f>
        <v>13200</v>
      </c>
      <c r="L40" s="39">
        <f>SUM(L10,L18,L26,L34,L39)</f>
        <v>8820</v>
      </c>
      <c r="M40" s="40">
        <f t="shared" si="1"/>
        <v>0.66818181818181821</v>
      </c>
      <c r="N40" s="41">
        <f>IFERROR(AVERAGE(N10,N18,N26,N34,N39),"")</f>
        <v>155.45833333333334</v>
      </c>
      <c r="O40" s="36">
        <f>IFERROR(AVERAGE(O10,O18,O26,O34,O39),"")</f>
        <v>6.2299999999999995</v>
      </c>
      <c r="P40" s="37">
        <f>IFERROR(AVERAGE(P10,P18,P26,P34,P39),"")</f>
        <v>6.2874999999999996</v>
      </c>
      <c r="Q40" s="38">
        <f>SUM(Q10,Q18,Q26,Q34,Q39)</f>
        <v>26640</v>
      </c>
      <c r="R40" s="39">
        <f>SUM(R10,R18,R26,R34,R39)</f>
        <v>18165</v>
      </c>
      <c r="S40" s="40">
        <f t="shared" si="3"/>
        <v>0.68186936936936937</v>
      </c>
      <c r="T40" s="41">
        <f>IFERROR(AVERAGE(T10,T18,T26,T34,T39),"")</f>
        <v>152.07142857142856</v>
      </c>
    </row>
    <row r="45" spans="2:20">
      <c r="F45" s="42"/>
    </row>
  </sheetData>
  <mergeCells count="13">
    <mergeCell ref="T3:T4"/>
    <mergeCell ref="E3:G3"/>
    <mergeCell ref="K3:M3"/>
    <mergeCell ref="C3:D3"/>
    <mergeCell ref="B2:B4"/>
    <mergeCell ref="O2:T2"/>
    <mergeCell ref="O3:P3"/>
    <mergeCell ref="C2:H2"/>
    <mergeCell ref="I2:N2"/>
    <mergeCell ref="I3:J3"/>
    <mergeCell ref="Q3:S3"/>
    <mergeCell ref="N3:N4"/>
    <mergeCell ref="H3:H4"/>
  </mergeCell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124"/>
  <sheetViews>
    <sheetView showGridLines="0" tabSelected="1" zoomScaleNormal="100" workbookViewId="0">
      <pane ySplit="4" topLeftCell="A93" activePane="bottomLeft" state="frozen"/>
      <selection pane="bottomLeft" activeCell="L105" sqref="L105"/>
    </sheetView>
  </sheetViews>
  <sheetFormatPr defaultColWidth="9" defaultRowHeight="12.75"/>
  <cols>
    <col min="1" max="1" width="1.5703125" style="178" customWidth="1"/>
    <col min="2" max="2" width="9" style="1" customWidth="1"/>
    <col min="3" max="3" width="10.28515625" style="1" customWidth="1"/>
    <col min="4" max="4" width="14.85546875" style="1" bestFit="1" customWidth="1"/>
    <col min="5" max="6" width="37.42578125" style="1" customWidth="1"/>
    <col min="7" max="7" width="8" style="177" bestFit="1" customWidth="1"/>
    <col min="8" max="8" width="14.42578125" style="1" bestFit="1" customWidth="1"/>
    <col min="9" max="9" width="5.5703125" style="1" bestFit="1" customWidth="1"/>
    <col min="10" max="10" width="5.42578125" style="1" bestFit="1" customWidth="1"/>
    <col min="11" max="11" width="1.140625" style="178" customWidth="1"/>
    <col min="12" max="12" width="9" style="178" customWidth="1"/>
    <col min="13" max="16384" width="9" style="178"/>
  </cols>
  <sheetData>
    <row r="2" spans="2:10" ht="13.5" customHeight="1" thickBot="1">
      <c r="B2" s="227" t="s">
        <v>19</v>
      </c>
      <c r="C2" s="228"/>
    </row>
    <row r="3" spans="2:10" ht="15">
      <c r="B3" s="233" t="s">
        <v>20</v>
      </c>
      <c r="C3" s="231" t="s">
        <v>21</v>
      </c>
      <c r="D3" s="231" t="s">
        <v>11</v>
      </c>
      <c r="E3" s="231" t="s">
        <v>22</v>
      </c>
      <c r="F3" s="231" t="s">
        <v>23</v>
      </c>
      <c r="G3" s="235" t="s">
        <v>24</v>
      </c>
      <c r="H3" s="231" t="s">
        <v>25</v>
      </c>
      <c r="I3" s="239" t="s">
        <v>26</v>
      </c>
      <c r="J3" s="213"/>
    </row>
    <row r="4" spans="2:10" ht="13.5" customHeight="1" thickBot="1">
      <c r="B4" s="234"/>
      <c r="C4" s="232"/>
      <c r="D4" s="232"/>
      <c r="E4" s="232"/>
      <c r="F4" s="232"/>
      <c r="G4" s="232"/>
      <c r="H4" s="232"/>
      <c r="I4" s="179" t="s">
        <v>27</v>
      </c>
      <c r="J4" s="180" t="s">
        <v>28</v>
      </c>
    </row>
    <row r="5" spans="2:10" ht="13.5" customHeight="1">
      <c r="B5" s="238" t="s">
        <v>29</v>
      </c>
      <c r="C5" s="181">
        <v>46023</v>
      </c>
      <c r="D5" s="182" t="s">
        <v>18</v>
      </c>
      <c r="E5" s="183"/>
      <c r="F5" s="206"/>
      <c r="G5" s="185"/>
      <c r="H5" s="207"/>
      <c r="I5" s="186"/>
      <c r="J5" s="187"/>
    </row>
    <row r="6" spans="2:10">
      <c r="B6" s="230"/>
      <c r="C6" s="188">
        <f t="shared" ref="C6:C29" si="0">+C5+1</f>
        <v>46024</v>
      </c>
      <c r="D6" s="189">
        <v>1.03</v>
      </c>
      <c r="E6" s="190" t="s">
        <v>30</v>
      </c>
      <c r="F6" s="195"/>
      <c r="G6" s="192"/>
      <c r="H6" s="193"/>
      <c r="I6" s="193"/>
      <c r="J6" s="194"/>
    </row>
    <row r="7" spans="2:10">
      <c r="B7" s="230"/>
      <c r="C7" s="188">
        <f t="shared" si="0"/>
        <v>46025</v>
      </c>
      <c r="D7" s="189" t="s">
        <v>18</v>
      </c>
      <c r="E7" s="190"/>
      <c r="F7" s="195"/>
      <c r="G7" s="192"/>
      <c r="H7" s="193"/>
      <c r="I7" s="193"/>
      <c r="J7" s="194"/>
    </row>
    <row r="8" spans="2:10" ht="13.5" customHeight="1">
      <c r="B8" s="230"/>
      <c r="C8" s="188">
        <f t="shared" si="0"/>
        <v>46026</v>
      </c>
      <c r="D8" s="189" t="s">
        <v>18</v>
      </c>
      <c r="E8" s="195"/>
      <c r="F8" s="190"/>
      <c r="G8" s="192"/>
      <c r="H8" s="204"/>
      <c r="I8" s="193"/>
      <c r="J8" s="194"/>
    </row>
    <row r="9" spans="2:10">
      <c r="B9" s="230"/>
      <c r="C9" s="188">
        <f t="shared" si="0"/>
        <v>46027</v>
      </c>
      <c r="D9" s="189">
        <v>1.01</v>
      </c>
      <c r="E9" s="190" t="s">
        <v>31</v>
      </c>
      <c r="F9" s="195" t="s">
        <v>32</v>
      </c>
      <c r="G9" s="192">
        <v>46027</v>
      </c>
      <c r="H9" s="193" t="s">
        <v>168</v>
      </c>
      <c r="I9" s="193"/>
      <c r="J9" s="194" t="s">
        <v>33</v>
      </c>
    </row>
    <row r="10" spans="2:10">
      <c r="B10" s="230"/>
      <c r="C10" s="188">
        <f t="shared" si="0"/>
        <v>46028</v>
      </c>
      <c r="D10" s="189">
        <v>1.03</v>
      </c>
      <c r="E10" s="190" t="s">
        <v>30</v>
      </c>
      <c r="F10" s="195"/>
      <c r="G10" s="192"/>
      <c r="H10" s="193"/>
      <c r="I10" s="193"/>
      <c r="J10" s="194"/>
    </row>
    <row r="11" spans="2:10">
      <c r="B11" s="230"/>
      <c r="C11" s="188">
        <f t="shared" si="0"/>
        <v>46029</v>
      </c>
      <c r="D11" s="189">
        <v>0.93</v>
      </c>
      <c r="E11" s="195" t="s">
        <v>34</v>
      </c>
      <c r="F11" s="195" t="s">
        <v>35</v>
      </c>
      <c r="G11" s="192">
        <v>46029</v>
      </c>
      <c r="H11" s="254" t="s">
        <v>167</v>
      </c>
      <c r="I11" s="193"/>
      <c r="J11" s="194" t="s">
        <v>33</v>
      </c>
    </row>
    <row r="12" spans="2:10">
      <c r="B12" s="230"/>
      <c r="C12" s="188">
        <f t="shared" si="0"/>
        <v>46030</v>
      </c>
      <c r="D12" s="189">
        <v>1.03</v>
      </c>
      <c r="E12" s="190" t="s">
        <v>30</v>
      </c>
      <c r="F12" s="195"/>
      <c r="G12" s="192"/>
      <c r="H12" s="193"/>
      <c r="I12" s="193"/>
      <c r="J12" s="194"/>
    </row>
    <row r="13" spans="2:10" ht="38.25" customHeight="1">
      <c r="B13" s="230"/>
      <c r="C13" s="188">
        <f t="shared" si="0"/>
        <v>46031</v>
      </c>
      <c r="D13" s="189">
        <v>0.94</v>
      </c>
      <c r="E13" s="190" t="s">
        <v>36</v>
      </c>
      <c r="F13" s="195" t="s">
        <v>37</v>
      </c>
      <c r="G13" s="192">
        <v>46031</v>
      </c>
      <c r="H13" s="193" t="s">
        <v>166</v>
      </c>
      <c r="I13" s="193"/>
      <c r="J13" s="194" t="s">
        <v>33</v>
      </c>
    </row>
    <row r="14" spans="2:10">
      <c r="B14" s="230"/>
      <c r="C14" s="188">
        <f t="shared" si="0"/>
        <v>46032</v>
      </c>
      <c r="D14" s="189" t="s">
        <v>18</v>
      </c>
      <c r="E14" s="195"/>
      <c r="F14" s="190"/>
      <c r="G14" s="192"/>
      <c r="H14" s="193"/>
      <c r="I14" s="193"/>
      <c r="J14" s="194"/>
    </row>
    <row r="15" spans="2:10">
      <c r="B15" s="230"/>
      <c r="C15" s="188">
        <f t="shared" si="0"/>
        <v>46033</v>
      </c>
      <c r="D15" s="189" t="s">
        <v>18</v>
      </c>
      <c r="E15" s="190"/>
      <c r="F15" s="190"/>
      <c r="G15" s="192"/>
      <c r="H15" s="193"/>
      <c r="I15" s="193"/>
      <c r="J15" s="194"/>
    </row>
    <row r="16" spans="2:10" ht="25.5" customHeight="1">
      <c r="B16" s="230"/>
      <c r="C16" s="188">
        <f t="shared" si="0"/>
        <v>46034</v>
      </c>
      <c r="D16" s="205">
        <v>0.84</v>
      </c>
      <c r="E16" s="190" t="s">
        <v>38</v>
      </c>
      <c r="F16" s="190" t="s">
        <v>39</v>
      </c>
      <c r="G16" s="192">
        <v>46034</v>
      </c>
      <c r="H16" s="193" t="s">
        <v>166</v>
      </c>
      <c r="I16" s="193"/>
      <c r="J16" s="194" t="s">
        <v>33</v>
      </c>
    </row>
    <row r="17" spans="2:10">
      <c r="B17" s="230"/>
      <c r="C17" s="188">
        <f t="shared" si="0"/>
        <v>46035</v>
      </c>
      <c r="D17" s="189">
        <v>1.06</v>
      </c>
      <c r="E17" s="190" t="s">
        <v>30</v>
      </c>
      <c r="F17" s="190"/>
      <c r="G17" s="192"/>
      <c r="H17" s="193"/>
      <c r="I17" s="193"/>
      <c r="J17" s="194"/>
    </row>
    <row r="18" spans="2:10" ht="25.5">
      <c r="B18" s="230"/>
      <c r="C18" s="188">
        <f t="shared" si="0"/>
        <v>46036</v>
      </c>
      <c r="D18" s="189">
        <v>1</v>
      </c>
      <c r="E18" s="190" t="s">
        <v>40</v>
      </c>
      <c r="F18" s="190" t="s">
        <v>41</v>
      </c>
      <c r="G18" s="192">
        <v>46036</v>
      </c>
      <c r="H18" s="193" t="s">
        <v>166</v>
      </c>
      <c r="I18" s="193"/>
      <c r="J18" s="194" t="s">
        <v>33</v>
      </c>
    </row>
    <row r="19" spans="2:10">
      <c r="B19" s="230"/>
      <c r="C19" s="188">
        <f t="shared" si="0"/>
        <v>46037</v>
      </c>
      <c r="D19" s="189">
        <v>1.05</v>
      </c>
      <c r="E19" s="190" t="s">
        <v>30</v>
      </c>
      <c r="F19" s="190"/>
      <c r="G19" s="192"/>
      <c r="H19" s="193"/>
      <c r="I19" s="193"/>
      <c r="J19" s="194"/>
    </row>
    <row r="20" spans="2:10" ht="51" customHeight="1">
      <c r="B20" s="230"/>
      <c r="C20" s="188">
        <f t="shared" si="0"/>
        <v>46038</v>
      </c>
      <c r="D20" s="189">
        <v>0.69</v>
      </c>
      <c r="E20" s="203" t="s">
        <v>42</v>
      </c>
      <c r="F20" s="190" t="s">
        <v>43</v>
      </c>
      <c r="G20" s="192">
        <v>46038</v>
      </c>
      <c r="H20" s="193" t="s">
        <v>166</v>
      </c>
      <c r="I20" s="193"/>
      <c r="J20" s="194" t="s">
        <v>33</v>
      </c>
    </row>
    <row r="21" spans="2:10" ht="13.5" customHeight="1">
      <c r="B21" s="230"/>
      <c r="C21" s="188">
        <f t="shared" si="0"/>
        <v>46039</v>
      </c>
      <c r="D21" s="189" t="s">
        <v>18</v>
      </c>
      <c r="E21" s="203"/>
      <c r="F21" s="190"/>
      <c r="G21" s="192"/>
      <c r="H21" s="193"/>
      <c r="I21" s="193"/>
      <c r="J21" s="194"/>
    </row>
    <row r="22" spans="2:10">
      <c r="B22" s="230"/>
      <c r="C22" s="188">
        <f t="shared" si="0"/>
        <v>46040</v>
      </c>
      <c r="D22" s="189" t="s">
        <v>18</v>
      </c>
      <c r="E22" s="190"/>
      <c r="F22" s="190"/>
      <c r="G22" s="192"/>
      <c r="H22" s="193"/>
      <c r="I22" s="193"/>
      <c r="J22" s="194"/>
    </row>
    <row r="23" spans="2:10" ht="40.5" customHeight="1">
      <c r="B23" s="230"/>
      <c r="C23" s="188">
        <f t="shared" si="0"/>
        <v>46041</v>
      </c>
      <c r="D23" s="189">
        <v>0.89</v>
      </c>
      <c r="E23" s="203" t="s">
        <v>44</v>
      </c>
      <c r="F23" s="190" t="s">
        <v>45</v>
      </c>
      <c r="G23" s="192">
        <v>46041</v>
      </c>
      <c r="H23" s="193" t="s">
        <v>166</v>
      </c>
      <c r="I23" s="193"/>
      <c r="J23" s="194" t="s">
        <v>33</v>
      </c>
    </row>
    <row r="24" spans="2:10" ht="25.5" customHeight="1">
      <c r="B24" s="230"/>
      <c r="C24" s="188">
        <f t="shared" si="0"/>
        <v>46042</v>
      </c>
      <c r="D24" s="189">
        <v>0.98</v>
      </c>
      <c r="E24" s="190" t="s">
        <v>46</v>
      </c>
      <c r="F24" s="195"/>
      <c r="G24" s="192">
        <v>46042</v>
      </c>
      <c r="H24" s="193" t="s">
        <v>167</v>
      </c>
      <c r="I24" s="193"/>
      <c r="J24" s="194" t="s">
        <v>33</v>
      </c>
    </row>
    <row r="25" spans="2:10" ht="27" customHeight="1">
      <c r="B25" s="230"/>
      <c r="C25" s="188">
        <f t="shared" si="0"/>
        <v>46043</v>
      </c>
      <c r="D25" s="189">
        <v>0.7</v>
      </c>
      <c r="E25" s="203" t="s">
        <v>47</v>
      </c>
      <c r="F25" s="195" t="s">
        <v>48</v>
      </c>
      <c r="G25" s="192">
        <v>46043</v>
      </c>
      <c r="H25" s="193" t="s">
        <v>166</v>
      </c>
      <c r="I25" s="193"/>
      <c r="J25" s="194" t="s">
        <v>33</v>
      </c>
    </row>
    <row r="26" spans="2:10" ht="54" customHeight="1">
      <c r="B26" s="230"/>
      <c r="C26" s="188">
        <f t="shared" si="0"/>
        <v>46044</v>
      </c>
      <c r="D26" s="189">
        <v>0.88</v>
      </c>
      <c r="E26" s="203" t="s">
        <v>49</v>
      </c>
      <c r="F26" s="190" t="s">
        <v>50</v>
      </c>
      <c r="G26" s="192">
        <v>46044</v>
      </c>
      <c r="H26" s="193" t="s">
        <v>166</v>
      </c>
      <c r="I26" s="193"/>
      <c r="J26" s="194" t="s">
        <v>33</v>
      </c>
    </row>
    <row r="27" spans="2:10" ht="40.5" customHeight="1">
      <c r="B27" s="230"/>
      <c r="C27" s="188">
        <f t="shared" si="0"/>
        <v>46045</v>
      </c>
      <c r="D27" s="189">
        <v>0.75</v>
      </c>
      <c r="E27" s="203" t="s">
        <v>51</v>
      </c>
      <c r="F27" s="195" t="s">
        <v>52</v>
      </c>
      <c r="G27" s="192">
        <v>46045</v>
      </c>
      <c r="H27" s="193" t="s">
        <v>166</v>
      </c>
      <c r="I27" s="193"/>
      <c r="J27" s="194" t="s">
        <v>33</v>
      </c>
    </row>
    <row r="28" spans="2:10" ht="27" customHeight="1">
      <c r="B28" s="230"/>
      <c r="C28" s="188">
        <f t="shared" si="0"/>
        <v>46046</v>
      </c>
      <c r="D28" s="189" t="s">
        <v>18</v>
      </c>
      <c r="E28" s="203" t="s">
        <v>53</v>
      </c>
      <c r="F28" s="190" t="s">
        <v>54</v>
      </c>
      <c r="G28" s="192">
        <v>46046</v>
      </c>
      <c r="H28" s="193" t="s">
        <v>166</v>
      </c>
      <c r="I28" s="193"/>
      <c r="J28" s="194" t="s">
        <v>33</v>
      </c>
    </row>
    <row r="29" spans="2:10" ht="13.5" customHeight="1">
      <c r="B29" s="230"/>
      <c r="C29" s="188">
        <f t="shared" si="0"/>
        <v>46047</v>
      </c>
      <c r="D29" s="189" t="s">
        <v>18</v>
      </c>
      <c r="E29" s="203"/>
      <c r="F29" s="195"/>
      <c r="G29" s="192"/>
      <c r="H29" s="193"/>
      <c r="I29" s="193"/>
      <c r="J29" s="194"/>
    </row>
    <row r="30" spans="2:10">
      <c r="B30" s="230"/>
      <c r="C30" s="188">
        <v>46048</v>
      </c>
      <c r="D30" s="189">
        <v>1.1000000000000001</v>
      </c>
      <c r="E30" s="190" t="s">
        <v>30</v>
      </c>
      <c r="F30" s="190"/>
      <c r="G30" s="192"/>
      <c r="H30" s="191"/>
      <c r="I30" s="193"/>
      <c r="J30" s="194"/>
    </row>
    <row r="31" spans="2:10">
      <c r="B31" s="230"/>
      <c r="C31" s="188">
        <f>+C30+1</f>
        <v>46049</v>
      </c>
      <c r="D31" s="189">
        <v>1.1299999999999999</v>
      </c>
      <c r="E31" s="190" t="s">
        <v>30</v>
      </c>
      <c r="F31" s="190"/>
      <c r="G31" s="192"/>
      <c r="H31" s="191"/>
      <c r="I31" s="193"/>
      <c r="J31" s="194"/>
    </row>
    <row r="32" spans="2:10">
      <c r="B32" s="230"/>
      <c r="C32" s="188">
        <f>+C31+1</f>
        <v>46050</v>
      </c>
      <c r="D32" s="189">
        <v>1.1499999999999999</v>
      </c>
      <c r="E32" s="190" t="s">
        <v>30</v>
      </c>
      <c r="F32" s="195"/>
      <c r="G32" s="192"/>
      <c r="H32" s="193"/>
      <c r="I32" s="193"/>
      <c r="J32" s="194"/>
    </row>
    <row r="33" spans="2:10" ht="25.5">
      <c r="B33" s="230"/>
      <c r="C33" s="188">
        <f>+C32+1</f>
        <v>46051</v>
      </c>
      <c r="D33" s="189">
        <v>1.1000000000000001</v>
      </c>
      <c r="E33" s="190" t="s">
        <v>55</v>
      </c>
      <c r="F33" s="195" t="s">
        <v>56</v>
      </c>
      <c r="G33" s="192">
        <v>46052</v>
      </c>
      <c r="H33" s="193" t="s">
        <v>169</v>
      </c>
      <c r="I33" s="193" t="s">
        <v>33</v>
      </c>
      <c r="J33" s="194"/>
    </row>
    <row r="34" spans="2:10">
      <c r="B34" s="230"/>
      <c r="C34" s="188">
        <f>+C33+1</f>
        <v>46052</v>
      </c>
      <c r="D34" s="189">
        <v>0.78</v>
      </c>
      <c r="E34" s="190" t="s">
        <v>57</v>
      </c>
      <c r="F34" s="195" t="s">
        <v>58</v>
      </c>
      <c r="G34" s="192">
        <v>46053</v>
      </c>
      <c r="H34" s="193" t="s">
        <v>169</v>
      </c>
      <c r="I34" s="193"/>
      <c r="J34" s="194" t="s">
        <v>33</v>
      </c>
    </row>
    <row r="35" spans="2:10" ht="13.5" customHeight="1" thickBot="1">
      <c r="B35" s="237"/>
      <c r="C35" s="196">
        <f>+C34+1</f>
        <v>46053</v>
      </c>
      <c r="D35" s="197" t="s">
        <v>18</v>
      </c>
      <c r="E35" s="199"/>
      <c r="F35" s="199"/>
      <c r="G35" s="200"/>
      <c r="H35" s="198"/>
      <c r="I35" s="198"/>
      <c r="J35" s="201"/>
    </row>
    <row r="36" spans="2:10">
      <c r="B36" s="229" t="s">
        <v>59</v>
      </c>
      <c r="C36" s="181">
        <v>46054</v>
      </c>
      <c r="D36" s="182" t="s">
        <v>18</v>
      </c>
      <c r="E36" s="183"/>
      <c r="F36" s="183"/>
      <c r="G36" s="185"/>
      <c r="H36" s="184"/>
      <c r="I36" s="186"/>
      <c r="J36" s="187"/>
    </row>
    <row r="37" spans="2:10" ht="25.5" customHeight="1">
      <c r="B37" s="230"/>
      <c r="C37" s="188">
        <v>46055</v>
      </c>
      <c r="D37" s="189">
        <v>0.88</v>
      </c>
      <c r="E37" s="190" t="s">
        <v>60</v>
      </c>
      <c r="F37" s="190" t="s">
        <v>61</v>
      </c>
      <c r="G37" s="192">
        <v>46055</v>
      </c>
      <c r="H37" s="191" t="s">
        <v>168</v>
      </c>
      <c r="I37" s="193"/>
      <c r="J37" s="194" t="s">
        <v>33</v>
      </c>
    </row>
    <row r="38" spans="2:10">
      <c r="B38" s="230"/>
      <c r="C38" s="188">
        <v>46056</v>
      </c>
      <c r="D38" s="189">
        <v>1.1299999999999999</v>
      </c>
      <c r="E38" s="190" t="s">
        <v>30</v>
      </c>
      <c r="F38" s="195"/>
      <c r="G38" s="192"/>
      <c r="H38" s="193"/>
      <c r="I38" s="193"/>
      <c r="J38" s="194"/>
    </row>
    <row r="39" spans="2:10">
      <c r="B39" s="230"/>
      <c r="C39" s="188">
        <v>46057</v>
      </c>
      <c r="D39" s="189">
        <v>1.1399999999999999</v>
      </c>
      <c r="E39" s="190" t="s">
        <v>30</v>
      </c>
      <c r="F39" s="195"/>
      <c r="G39" s="192"/>
      <c r="H39" s="193"/>
      <c r="I39" s="193"/>
      <c r="J39" s="194"/>
    </row>
    <row r="40" spans="2:10">
      <c r="B40" s="230"/>
      <c r="C40" s="188">
        <v>46058</v>
      </c>
      <c r="D40" s="189">
        <v>1.1100000000000001</v>
      </c>
      <c r="E40" s="190" t="s">
        <v>30</v>
      </c>
      <c r="F40" s="195"/>
      <c r="G40" s="192"/>
      <c r="H40" s="193"/>
      <c r="I40" s="193"/>
      <c r="J40" s="194"/>
    </row>
    <row r="41" spans="2:10">
      <c r="B41" s="230"/>
      <c r="C41" s="188">
        <v>46059</v>
      </c>
      <c r="D41" s="189">
        <v>1.1100000000000001</v>
      </c>
      <c r="E41" s="190" t="s">
        <v>30</v>
      </c>
      <c r="F41" s="195"/>
      <c r="G41" s="192"/>
      <c r="H41" s="193"/>
      <c r="I41" s="193"/>
      <c r="J41" s="194"/>
    </row>
    <row r="42" spans="2:10" ht="63.75" customHeight="1">
      <c r="B42" s="230"/>
      <c r="C42" s="188">
        <v>46060</v>
      </c>
      <c r="D42" s="189" t="s">
        <v>18</v>
      </c>
      <c r="E42" s="190" t="s">
        <v>62</v>
      </c>
      <c r="F42" s="195" t="s">
        <v>63</v>
      </c>
      <c r="G42" s="192">
        <v>46062</v>
      </c>
      <c r="H42" s="193" t="s">
        <v>166</v>
      </c>
      <c r="I42" s="193" t="s">
        <v>33</v>
      </c>
      <c r="J42" s="194"/>
    </row>
    <row r="43" spans="2:10">
      <c r="B43" s="230"/>
      <c r="C43" s="188">
        <v>46061</v>
      </c>
      <c r="D43" s="189" t="s">
        <v>18</v>
      </c>
      <c r="E43" s="190"/>
      <c r="F43" s="190"/>
      <c r="G43" s="192"/>
      <c r="H43" s="193"/>
      <c r="I43" s="193"/>
      <c r="J43" s="194"/>
    </row>
    <row r="44" spans="2:10" ht="25.5">
      <c r="B44" s="230"/>
      <c r="C44" s="188">
        <v>46062</v>
      </c>
      <c r="D44" s="189">
        <v>1.35</v>
      </c>
      <c r="E44" s="190" t="s">
        <v>64</v>
      </c>
      <c r="F44" s="195"/>
      <c r="G44" s="192">
        <v>46062</v>
      </c>
      <c r="H44" s="193" t="s">
        <v>167</v>
      </c>
      <c r="I44" s="193"/>
      <c r="J44" s="194" t="s">
        <v>33</v>
      </c>
    </row>
    <row r="45" spans="2:10">
      <c r="B45" s="230"/>
      <c r="C45" s="188">
        <v>46063</v>
      </c>
      <c r="D45" s="189">
        <v>1.1000000000000001</v>
      </c>
      <c r="E45" s="190" t="s">
        <v>30</v>
      </c>
      <c r="F45" s="195"/>
      <c r="G45" s="192"/>
      <c r="H45" s="193"/>
      <c r="I45" s="193"/>
      <c r="J45" s="194"/>
    </row>
    <row r="46" spans="2:10">
      <c r="B46" s="230"/>
      <c r="C46" s="188">
        <v>46064</v>
      </c>
      <c r="D46" s="189">
        <v>1.1100000000000001</v>
      </c>
      <c r="E46" s="190" t="s">
        <v>30</v>
      </c>
      <c r="F46" s="195"/>
      <c r="G46" s="192"/>
      <c r="H46" s="193"/>
      <c r="I46" s="193"/>
      <c r="J46" s="194"/>
    </row>
    <row r="47" spans="2:10" ht="38.25" customHeight="1">
      <c r="B47" s="230"/>
      <c r="C47" s="188">
        <v>46065</v>
      </c>
      <c r="D47" s="189">
        <v>0.83</v>
      </c>
      <c r="E47" s="190" t="s">
        <v>65</v>
      </c>
      <c r="F47" s="190" t="s">
        <v>66</v>
      </c>
      <c r="G47" s="192">
        <v>46065</v>
      </c>
      <c r="H47" s="193" t="s">
        <v>170</v>
      </c>
      <c r="I47" s="193"/>
      <c r="J47" s="194" t="s">
        <v>33</v>
      </c>
    </row>
    <row r="48" spans="2:10">
      <c r="B48" s="230"/>
      <c r="C48" s="188">
        <v>46066</v>
      </c>
      <c r="D48" s="189">
        <v>1.06</v>
      </c>
      <c r="E48" s="190" t="s">
        <v>30</v>
      </c>
      <c r="F48" s="195"/>
      <c r="G48" s="192"/>
      <c r="H48" s="193"/>
      <c r="I48" s="193"/>
      <c r="J48" s="194"/>
    </row>
    <row r="49" spans="2:10" ht="25.5">
      <c r="B49" s="230"/>
      <c r="C49" s="188">
        <v>46067</v>
      </c>
      <c r="D49" s="189">
        <v>0.69</v>
      </c>
      <c r="E49" s="190" t="s">
        <v>67</v>
      </c>
      <c r="F49" s="195" t="s">
        <v>68</v>
      </c>
      <c r="G49" s="192">
        <v>46067</v>
      </c>
      <c r="H49" s="193" t="s">
        <v>171</v>
      </c>
      <c r="I49" s="193"/>
      <c r="J49" s="194" t="s">
        <v>33</v>
      </c>
    </row>
    <row r="50" spans="2:10">
      <c r="B50" s="230"/>
      <c r="C50" s="188">
        <v>46068</v>
      </c>
      <c r="D50" s="189" t="s">
        <v>18</v>
      </c>
      <c r="E50" s="190"/>
      <c r="F50" s="195"/>
      <c r="G50" s="192"/>
      <c r="H50" s="193"/>
      <c r="I50" s="193"/>
      <c r="J50" s="194"/>
    </row>
    <row r="51" spans="2:10">
      <c r="B51" s="230"/>
      <c r="C51" s="188">
        <v>46069</v>
      </c>
      <c r="D51" s="189" t="s">
        <v>18</v>
      </c>
      <c r="E51" s="190"/>
      <c r="F51" s="195"/>
      <c r="G51" s="192"/>
      <c r="H51" s="193"/>
      <c r="I51" s="193"/>
      <c r="J51" s="194"/>
    </row>
    <row r="52" spans="2:10">
      <c r="B52" s="230"/>
      <c r="C52" s="188">
        <v>46070</v>
      </c>
      <c r="D52" s="189" t="s">
        <v>18</v>
      </c>
      <c r="E52" s="190"/>
      <c r="F52" s="195"/>
      <c r="G52" s="192"/>
      <c r="H52" s="193"/>
      <c r="I52" s="193"/>
      <c r="J52" s="194"/>
    </row>
    <row r="53" spans="2:10">
      <c r="B53" s="230"/>
      <c r="C53" s="188">
        <v>46071</v>
      </c>
      <c r="D53" s="189" t="s">
        <v>18</v>
      </c>
      <c r="E53" s="190"/>
      <c r="F53" s="195"/>
      <c r="G53" s="192"/>
      <c r="H53" s="193"/>
      <c r="I53" s="193"/>
      <c r="J53" s="194"/>
    </row>
    <row r="54" spans="2:10">
      <c r="B54" s="230"/>
      <c r="C54" s="188">
        <v>46072</v>
      </c>
      <c r="D54" s="189">
        <v>1.05</v>
      </c>
      <c r="E54" s="190" t="s">
        <v>30</v>
      </c>
      <c r="F54" s="195"/>
      <c r="G54" s="192"/>
      <c r="H54" s="193"/>
      <c r="I54" s="193"/>
      <c r="J54" s="194"/>
    </row>
    <row r="55" spans="2:10">
      <c r="B55" s="230"/>
      <c r="C55" s="188">
        <v>46073</v>
      </c>
      <c r="D55" s="189">
        <v>1.1100000000000001</v>
      </c>
      <c r="E55" s="190" t="s">
        <v>30</v>
      </c>
      <c r="F55" s="195"/>
      <c r="G55" s="192"/>
      <c r="H55" s="193"/>
      <c r="I55" s="193"/>
      <c r="J55" s="194"/>
    </row>
    <row r="56" spans="2:10">
      <c r="B56" s="230"/>
      <c r="C56" s="188">
        <v>46074</v>
      </c>
      <c r="D56" s="189">
        <v>1.18</v>
      </c>
      <c r="E56" s="190" t="s">
        <v>30</v>
      </c>
      <c r="F56" s="195"/>
      <c r="G56" s="192"/>
      <c r="H56" s="193"/>
      <c r="I56" s="193"/>
      <c r="J56" s="194"/>
    </row>
    <row r="57" spans="2:10">
      <c r="B57" s="230"/>
      <c r="C57" s="188">
        <v>46075</v>
      </c>
      <c r="D57" s="189" t="s">
        <v>18</v>
      </c>
      <c r="E57" s="190"/>
      <c r="F57" s="195"/>
      <c r="G57" s="192"/>
      <c r="H57" s="193"/>
      <c r="I57" s="193"/>
      <c r="J57" s="194"/>
    </row>
    <row r="58" spans="2:10">
      <c r="B58" s="230"/>
      <c r="C58" s="188">
        <v>46076</v>
      </c>
      <c r="D58" s="189">
        <v>1.1000000000000001</v>
      </c>
      <c r="E58" s="190" t="s">
        <v>30</v>
      </c>
      <c r="F58" s="195"/>
      <c r="G58" s="192"/>
      <c r="H58" s="193"/>
      <c r="I58" s="193"/>
      <c r="J58" s="194"/>
    </row>
    <row r="59" spans="2:10">
      <c r="B59" s="230"/>
      <c r="C59" s="188">
        <v>46077</v>
      </c>
      <c r="D59" s="189">
        <v>1.1399999999999999</v>
      </c>
      <c r="E59" s="190" t="s">
        <v>30</v>
      </c>
      <c r="F59" s="195"/>
      <c r="G59" s="192"/>
      <c r="H59" s="193"/>
      <c r="I59" s="193"/>
      <c r="J59" s="194"/>
    </row>
    <row r="60" spans="2:10">
      <c r="B60" s="230"/>
      <c r="C60" s="188">
        <v>46078</v>
      </c>
      <c r="D60" s="189">
        <v>1.1299999999999999</v>
      </c>
      <c r="E60" s="190" t="s">
        <v>30</v>
      </c>
      <c r="F60" s="195"/>
      <c r="G60" s="192"/>
      <c r="H60" s="193"/>
      <c r="I60" s="193"/>
      <c r="J60" s="194"/>
    </row>
    <row r="61" spans="2:10">
      <c r="B61" s="230"/>
      <c r="C61" s="188">
        <v>46079</v>
      </c>
      <c r="D61" s="189">
        <v>1.1299999999999999</v>
      </c>
      <c r="E61" s="190" t="s">
        <v>30</v>
      </c>
      <c r="F61" s="195"/>
      <c r="G61" s="192"/>
      <c r="H61" s="193"/>
      <c r="I61" s="193"/>
      <c r="J61" s="194"/>
    </row>
    <row r="62" spans="2:10">
      <c r="B62" s="230"/>
      <c r="C62" s="188">
        <v>46080</v>
      </c>
      <c r="D62" s="189">
        <v>1.0900000000000001</v>
      </c>
      <c r="E62" s="190" t="s">
        <v>30</v>
      </c>
      <c r="F62" s="195"/>
      <c r="G62" s="192"/>
      <c r="H62" s="193"/>
      <c r="I62" s="193"/>
      <c r="J62" s="194"/>
    </row>
    <row r="63" spans="2:10" ht="13.5" customHeight="1" thickBot="1">
      <c r="B63" s="230"/>
      <c r="C63" s="188">
        <v>46081</v>
      </c>
      <c r="D63" s="189" t="s">
        <v>18</v>
      </c>
      <c r="E63" s="190"/>
      <c r="F63" s="195"/>
      <c r="G63" s="192"/>
      <c r="H63" s="193"/>
      <c r="I63" s="193"/>
      <c r="J63" s="194"/>
    </row>
    <row r="64" spans="2:10">
      <c r="B64" s="236" t="s">
        <v>59</v>
      </c>
      <c r="C64" s="181">
        <v>46082</v>
      </c>
      <c r="D64" s="182" t="s">
        <v>18</v>
      </c>
      <c r="E64" s="183"/>
      <c r="F64" s="183"/>
      <c r="G64" s="185"/>
      <c r="H64" s="184"/>
      <c r="I64" s="186"/>
      <c r="J64" s="187"/>
    </row>
    <row r="65" spans="2:10">
      <c r="B65" s="230"/>
      <c r="C65" s="188">
        <v>46083</v>
      </c>
      <c r="D65" s="189" t="s">
        <v>18</v>
      </c>
      <c r="E65" s="190"/>
      <c r="F65" s="190"/>
      <c r="G65" s="192"/>
      <c r="H65" s="191"/>
      <c r="I65" s="193"/>
      <c r="J65" s="194"/>
    </row>
    <row r="66" spans="2:10" ht="25.5">
      <c r="B66" s="230"/>
      <c r="C66" s="188">
        <v>46084</v>
      </c>
      <c r="D66" s="189">
        <v>0.96</v>
      </c>
      <c r="E66" s="190" t="s">
        <v>69</v>
      </c>
      <c r="F66" s="195" t="s">
        <v>70</v>
      </c>
      <c r="G66" s="192">
        <v>46084</v>
      </c>
      <c r="H66" s="193" t="s">
        <v>168</v>
      </c>
      <c r="I66" s="193"/>
      <c r="J66" s="194" t="s">
        <v>33</v>
      </c>
    </row>
    <row r="67" spans="2:10">
      <c r="B67" s="230"/>
      <c r="C67" s="188">
        <v>46085</v>
      </c>
      <c r="D67" s="189">
        <v>1.06</v>
      </c>
      <c r="E67" s="190" t="s">
        <v>30</v>
      </c>
      <c r="F67" s="195"/>
      <c r="G67" s="192"/>
      <c r="H67" s="193"/>
      <c r="I67" s="193"/>
      <c r="J67" s="194"/>
    </row>
    <row r="68" spans="2:10">
      <c r="B68" s="230"/>
      <c r="C68" s="188">
        <v>46086</v>
      </c>
      <c r="D68" s="189">
        <v>1.0900000000000001</v>
      </c>
      <c r="E68" s="190" t="s">
        <v>30</v>
      </c>
      <c r="F68" s="195"/>
      <c r="G68" s="192"/>
      <c r="H68" s="193"/>
      <c r="I68" s="193"/>
      <c r="J68" s="194"/>
    </row>
    <row r="69" spans="2:10">
      <c r="B69" s="230"/>
      <c r="C69" s="188">
        <v>46087</v>
      </c>
      <c r="D69" s="189">
        <v>1.1299999999999999</v>
      </c>
      <c r="E69" s="190" t="s">
        <v>30</v>
      </c>
      <c r="F69" s="195"/>
      <c r="G69" s="192"/>
      <c r="H69" s="193"/>
      <c r="I69" s="193"/>
      <c r="J69" s="194"/>
    </row>
    <row r="70" spans="2:10">
      <c r="B70" s="230"/>
      <c r="C70" s="188">
        <v>46088</v>
      </c>
      <c r="D70" s="189" t="s">
        <v>18</v>
      </c>
      <c r="E70" s="190"/>
      <c r="F70" s="195"/>
      <c r="G70" s="192"/>
      <c r="H70" s="193"/>
      <c r="I70" s="193"/>
      <c r="J70" s="194"/>
    </row>
    <row r="71" spans="2:10">
      <c r="B71" s="230"/>
      <c r="C71" s="188">
        <v>46089</v>
      </c>
      <c r="D71" s="189" t="s">
        <v>18</v>
      </c>
      <c r="E71" s="190"/>
      <c r="F71" s="190"/>
      <c r="G71" s="192"/>
      <c r="H71" s="193"/>
      <c r="I71" s="193"/>
      <c r="J71" s="194"/>
    </row>
    <row r="72" spans="2:10">
      <c r="B72" s="230"/>
      <c r="C72" s="188">
        <v>46090</v>
      </c>
      <c r="D72" s="189">
        <v>1.1375</v>
      </c>
      <c r="E72" s="190" t="s">
        <v>30</v>
      </c>
      <c r="F72" s="195"/>
      <c r="G72" s="192"/>
      <c r="H72" s="193"/>
      <c r="I72" s="193"/>
      <c r="J72" s="194"/>
    </row>
    <row r="73" spans="2:10">
      <c r="B73" s="230"/>
      <c r="C73" s="188">
        <v>46091</v>
      </c>
      <c r="D73" s="189">
        <v>1.18</v>
      </c>
      <c r="E73" s="190" t="s">
        <v>30</v>
      </c>
      <c r="F73" s="195"/>
      <c r="G73" s="192"/>
      <c r="H73" s="193"/>
      <c r="I73" s="193"/>
      <c r="J73" s="194"/>
    </row>
    <row r="74" spans="2:10">
      <c r="B74" s="230"/>
      <c r="C74" s="188">
        <v>46092</v>
      </c>
      <c r="D74" s="189">
        <v>1.1299999999999999</v>
      </c>
      <c r="E74" s="190" t="s">
        <v>30</v>
      </c>
      <c r="F74" s="195"/>
      <c r="G74" s="192"/>
      <c r="H74" s="193"/>
      <c r="I74" s="193"/>
      <c r="J74" s="194"/>
    </row>
    <row r="75" spans="2:10">
      <c r="B75" s="230"/>
      <c r="C75" s="188">
        <v>46093</v>
      </c>
      <c r="D75" s="189">
        <v>1.1299999999999999</v>
      </c>
      <c r="E75" s="190" t="s">
        <v>30</v>
      </c>
      <c r="F75" s="190"/>
      <c r="G75" s="192"/>
      <c r="H75" s="193"/>
      <c r="I75" s="193"/>
      <c r="J75" s="194"/>
    </row>
    <row r="76" spans="2:10">
      <c r="B76" s="230"/>
      <c r="C76" s="188">
        <v>46094</v>
      </c>
      <c r="D76" s="189">
        <v>1.01</v>
      </c>
      <c r="E76" s="190" t="s">
        <v>30</v>
      </c>
      <c r="F76" s="195"/>
      <c r="G76" s="192"/>
      <c r="H76" s="193"/>
      <c r="I76" s="193"/>
      <c r="J76" s="194"/>
    </row>
    <row r="77" spans="2:10">
      <c r="B77" s="230"/>
      <c r="C77" s="188">
        <v>46095</v>
      </c>
      <c r="D77" s="189">
        <v>1.1000000000000001</v>
      </c>
      <c r="E77" s="190" t="s">
        <v>30</v>
      </c>
      <c r="F77" s="195"/>
      <c r="G77" s="192"/>
      <c r="H77" s="193"/>
      <c r="I77" s="193"/>
      <c r="J77" s="194"/>
    </row>
    <row r="78" spans="2:10">
      <c r="B78" s="230"/>
      <c r="C78" s="188">
        <v>46096</v>
      </c>
      <c r="D78" s="189" t="s">
        <v>18</v>
      </c>
      <c r="E78" s="190"/>
      <c r="F78" s="195"/>
      <c r="G78" s="192"/>
      <c r="H78" s="193"/>
      <c r="I78" s="193"/>
      <c r="J78" s="194"/>
    </row>
    <row r="79" spans="2:10">
      <c r="B79" s="230"/>
      <c r="C79" s="188">
        <v>46097</v>
      </c>
      <c r="D79" s="189">
        <v>1.1299999999999999</v>
      </c>
      <c r="E79" s="190" t="s">
        <v>30</v>
      </c>
      <c r="F79" s="195"/>
      <c r="G79" s="192"/>
      <c r="H79" s="193"/>
      <c r="I79" s="193"/>
      <c r="J79" s="194"/>
    </row>
    <row r="80" spans="2:10">
      <c r="B80" s="230"/>
      <c r="C80" s="188">
        <v>46098</v>
      </c>
      <c r="D80" s="189">
        <v>1.1499999999999999</v>
      </c>
      <c r="E80" s="190" t="s">
        <v>30</v>
      </c>
      <c r="F80" s="195"/>
      <c r="G80" s="192"/>
      <c r="H80" s="193"/>
      <c r="I80" s="193"/>
      <c r="J80" s="194"/>
    </row>
    <row r="81" spans="2:10">
      <c r="B81" s="230"/>
      <c r="C81" s="188">
        <v>46099</v>
      </c>
      <c r="D81" s="189">
        <v>1.1599999999999999</v>
      </c>
      <c r="E81" s="190" t="s">
        <v>30</v>
      </c>
      <c r="F81" s="195"/>
      <c r="G81" s="192"/>
      <c r="H81" s="193"/>
      <c r="I81" s="193"/>
      <c r="J81" s="194"/>
    </row>
    <row r="82" spans="2:10">
      <c r="B82" s="230"/>
      <c r="C82" s="188">
        <v>46100</v>
      </c>
      <c r="D82" s="189">
        <v>1.1299999999999999</v>
      </c>
      <c r="E82" s="190" t="s">
        <v>30</v>
      </c>
      <c r="F82" s="195"/>
      <c r="G82" s="192"/>
      <c r="H82" s="193"/>
      <c r="I82" s="193"/>
      <c r="J82" s="194"/>
    </row>
    <row r="83" spans="2:10" ht="25.5">
      <c r="B83" s="230"/>
      <c r="C83" s="188">
        <v>46101</v>
      </c>
      <c r="D83" s="189">
        <v>0.56000000000000005</v>
      </c>
      <c r="E83" s="190" t="s">
        <v>71</v>
      </c>
      <c r="F83" s="195" t="s">
        <v>72</v>
      </c>
      <c r="G83" s="192"/>
      <c r="H83" s="193"/>
      <c r="I83" s="193"/>
      <c r="J83" s="194"/>
    </row>
    <row r="84" spans="2:10">
      <c r="B84" s="230"/>
      <c r="C84" s="188">
        <v>46102</v>
      </c>
      <c r="D84" s="189" t="s">
        <v>18</v>
      </c>
      <c r="E84" s="190"/>
      <c r="F84" s="195"/>
      <c r="G84" s="192"/>
      <c r="H84" s="193"/>
      <c r="I84" s="193"/>
      <c r="J84" s="194"/>
    </row>
    <row r="85" spans="2:10">
      <c r="B85" s="230"/>
      <c r="C85" s="188">
        <v>46103</v>
      </c>
      <c r="D85" s="189" t="s">
        <v>18</v>
      </c>
      <c r="E85" s="190"/>
      <c r="F85" s="195"/>
      <c r="G85" s="192"/>
      <c r="H85" s="193"/>
      <c r="I85" s="193"/>
      <c r="J85" s="194"/>
    </row>
    <row r="86" spans="2:10">
      <c r="B86" s="230"/>
      <c r="C86" s="188">
        <v>46104</v>
      </c>
      <c r="D86" s="189">
        <v>1.05</v>
      </c>
      <c r="E86" s="190" t="s">
        <v>30</v>
      </c>
      <c r="F86" s="195"/>
      <c r="G86" s="192"/>
      <c r="H86" s="193"/>
      <c r="I86" s="193"/>
      <c r="J86" s="194"/>
    </row>
    <row r="87" spans="2:10">
      <c r="B87" s="230"/>
      <c r="C87" s="188">
        <v>46105</v>
      </c>
      <c r="D87" s="189">
        <v>0.6</v>
      </c>
      <c r="E87" s="190" t="s">
        <v>73</v>
      </c>
      <c r="F87" s="195" t="s">
        <v>74</v>
      </c>
      <c r="G87" s="192">
        <v>46105</v>
      </c>
      <c r="H87" s="193" t="s">
        <v>167</v>
      </c>
      <c r="I87" s="193"/>
      <c r="J87" s="194" t="s">
        <v>33</v>
      </c>
    </row>
    <row r="88" spans="2:10">
      <c r="B88" s="230"/>
      <c r="C88" s="188">
        <v>46106</v>
      </c>
      <c r="D88" s="189">
        <v>1.06</v>
      </c>
      <c r="E88" s="190" t="s">
        <v>30</v>
      </c>
      <c r="F88" s="195"/>
      <c r="G88" s="192"/>
      <c r="H88" s="193"/>
      <c r="I88" s="193"/>
      <c r="J88" s="194"/>
    </row>
    <row r="89" spans="2:10">
      <c r="B89" s="230"/>
      <c r="C89" s="188">
        <v>46107</v>
      </c>
      <c r="D89" s="189">
        <v>1.1100000000000001</v>
      </c>
      <c r="E89" s="190" t="s">
        <v>30</v>
      </c>
      <c r="F89" s="195"/>
      <c r="G89" s="192"/>
      <c r="H89" s="193"/>
      <c r="I89" s="193"/>
      <c r="J89" s="194"/>
    </row>
    <row r="90" spans="2:10" ht="25.5" customHeight="1">
      <c r="B90" s="230"/>
      <c r="C90" s="188">
        <v>46108</v>
      </c>
      <c r="D90" s="189">
        <v>0.93</v>
      </c>
      <c r="E90" s="190" t="s">
        <v>75</v>
      </c>
      <c r="F90" s="195" t="s">
        <v>76</v>
      </c>
      <c r="G90" s="192">
        <v>46108</v>
      </c>
      <c r="H90" s="193" t="s">
        <v>167</v>
      </c>
      <c r="I90" s="193"/>
      <c r="J90" s="194" t="s">
        <v>33</v>
      </c>
    </row>
    <row r="91" spans="2:10">
      <c r="B91" s="230"/>
      <c r="C91" s="188">
        <v>46109</v>
      </c>
      <c r="D91" s="189" t="s">
        <v>18</v>
      </c>
      <c r="E91" s="190"/>
      <c r="F91" s="195"/>
      <c r="G91" s="192"/>
      <c r="H91" s="193"/>
      <c r="I91" s="193"/>
      <c r="J91" s="194"/>
    </row>
    <row r="92" spans="2:10">
      <c r="B92" s="230"/>
      <c r="C92" s="188">
        <v>46110</v>
      </c>
      <c r="D92" s="189" t="s">
        <v>18</v>
      </c>
      <c r="E92" s="190"/>
      <c r="F92" s="195"/>
      <c r="G92" s="192"/>
      <c r="H92" s="193"/>
      <c r="I92" s="193"/>
      <c r="J92" s="194"/>
    </row>
    <row r="93" spans="2:10" ht="25.5">
      <c r="B93" s="230"/>
      <c r="C93" s="188">
        <v>46111</v>
      </c>
      <c r="D93" s="189">
        <v>0.71</v>
      </c>
      <c r="E93" s="190" t="s">
        <v>77</v>
      </c>
      <c r="F93" s="195" t="s">
        <v>78</v>
      </c>
      <c r="G93" s="192">
        <v>46111</v>
      </c>
      <c r="H93" s="193" t="s">
        <v>167</v>
      </c>
      <c r="I93" s="193"/>
      <c r="J93" s="194" t="s">
        <v>33</v>
      </c>
    </row>
    <row r="94" spans="2:10" ht="13.5" customHeight="1" thickBot="1">
      <c r="B94" s="237"/>
      <c r="C94" s="196">
        <v>46112</v>
      </c>
      <c r="D94" s="197">
        <v>0.69</v>
      </c>
      <c r="E94" s="199" t="s">
        <v>79</v>
      </c>
      <c r="F94" s="199" t="s">
        <v>80</v>
      </c>
      <c r="G94" s="200">
        <v>46112</v>
      </c>
      <c r="H94" s="193" t="s">
        <v>166</v>
      </c>
      <c r="I94" s="198"/>
      <c r="J94" s="201" t="s">
        <v>33</v>
      </c>
    </row>
    <row r="95" spans="2:10" ht="25.5" customHeight="1" thickBot="1">
      <c r="B95" s="236" t="s">
        <v>59</v>
      </c>
      <c r="C95" s="181">
        <v>46113</v>
      </c>
      <c r="D95" s="182">
        <v>0.65</v>
      </c>
      <c r="E95" s="183" t="s">
        <v>81</v>
      </c>
      <c r="F95" s="183" t="s">
        <v>82</v>
      </c>
      <c r="G95" s="185">
        <v>46113</v>
      </c>
      <c r="H95" s="184" t="s">
        <v>170</v>
      </c>
      <c r="I95" s="186"/>
      <c r="J95" s="187" t="s">
        <v>33</v>
      </c>
    </row>
    <row r="96" spans="2:10" ht="25.5" customHeight="1">
      <c r="B96" s="230"/>
      <c r="C96" s="188">
        <v>46114</v>
      </c>
      <c r="D96" s="189">
        <v>0.76</v>
      </c>
      <c r="E96" s="190" t="s">
        <v>83</v>
      </c>
      <c r="F96" s="190" t="s">
        <v>84</v>
      </c>
      <c r="G96" s="192">
        <v>46114</v>
      </c>
      <c r="H96" s="191" t="s">
        <v>172</v>
      </c>
      <c r="I96" s="193"/>
      <c r="J96" s="194" t="s">
        <v>33</v>
      </c>
    </row>
    <row r="97" spans="2:10" ht="25.5">
      <c r="B97" s="230"/>
      <c r="C97" s="188">
        <v>46115</v>
      </c>
      <c r="D97" s="189">
        <v>0.71</v>
      </c>
      <c r="E97" s="190" t="s">
        <v>85</v>
      </c>
      <c r="F97" s="195" t="s">
        <v>86</v>
      </c>
      <c r="G97" s="192">
        <v>46115</v>
      </c>
      <c r="H97" s="193" t="s">
        <v>170</v>
      </c>
      <c r="I97" s="193"/>
      <c r="J97" s="194" t="s">
        <v>33</v>
      </c>
    </row>
    <row r="98" spans="2:10">
      <c r="B98" s="230"/>
      <c r="C98" s="188">
        <v>46116</v>
      </c>
      <c r="D98" s="189" t="s">
        <v>18</v>
      </c>
      <c r="E98" s="190"/>
      <c r="F98" s="195"/>
      <c r="G98" s="192"/>
      <c r="H98" s="193"/>
      <c r="I98" s="193"/>
      <c r="J98" s="194"/>
    </row>
    <row r="99" spans="2:10">
      <c r="B99" s="230"/>
      <c r="C99" s="188">
        <v>46117</v>
      </c>
      <c r="D99" s="189">
        <v>1.1599999999999999</v>
      </c>
      <c r="E99" s="190" t="s">
        <v>30</v>
      </c>
      <c r="F99" s="195" t="s">
        <v>87</v>
      </c>
      <c r="G99" s="192"/>
      <c r="H99" s="193"/>
      <c r="I99" s="193"/>
      <c r="J99" s="194"/>
    </row>
    <row r="100" spans="2:10" ht="25.5" customHeight="1">
      <c r="B100" s="230"/>
      <c r="C100" s="188">
        <v>46118</v>
      </c>
      <c r="D100" s="189">
        <v>0.45</v>
      </c>
      <c r="E100" s="190" t="s">
        <v>88</v>
      </c>
      <c r="F100" s="190" t="s">
        <v>89</v>
      </c>
      <c r="G100" s="192">
        <v>46118</v>
      </c>
      <c r="H100" s="193" t="s">
        <v>168</v>
      </c>
      <c r="I100" s="193"/>
      <c r="J100" s="194" t="s">
        <v>33</v>
      </c>
    </row>
    <row r="101" spans="2:10">
      <c r="B101" s="230"/>
      <c r="C101" s="188">
        <v>46119</v>
      </c>
      <c r="D101" s="189">
        <v>0.91</v>
      </c>
      <c r="E101" s="190" t="s">
        <v>90</v>
      </c>
      <c r="F101" s="195" t="s">
        <v>91</v>
      </c>
      <c r="G101" s="192">
        <v>46119</v>
      </c>
      <c r="H101" s="193" t="s">
        <v>170</v>
      </c>
      <c r="I101" s="193"/>
      <c r="J101" s="194" t="s">
        <v>33</v>
      </c>
    </row>
    <row r="102" spans="2:10" ht="25.5">
      <c r="B102" s="230"/>
      <c r="C102" s="188">
        <v>46120</v>
      </c>
      <c r="D102" s="189">
        <v>0.63</v>
      </c>
      <c r="E102" s="190" t="s">
        <v>92</v>
      </c>
      <c r="F102" s="190" t="s">
        <v>93</v>
      </c>
      <c r="G102" s="192">
        <v>46121</v>
      </c>
      <c r="H102" s="193" t="s">
        <v>168</v>
      </c>
      <c r="I102" s="193"/>
      <c r="J102" s="194" t="s">
        <v>33</v>
      </c>
    </row>
    <row r="103" spans="2:10" ht="25.5">
      <c r="B103" s="230"/>
      <c r="C103" s="188">
        <v>46121</v>
      </c>
      <c r="D103" s="189">
        <v>0.79</v>
      </c>
      <c r="E103" s="190" t="s">
        <v>92</v>
      </c>
      <c r="F103" s="195" t="s">
        <v>94</v>
      </c>
      <c r="G103" s="192">
        <v>46121</v>
      </c>
      <c r="H103" s="193" t="s">
        <v>168</v>
      </c>
      <c r="I103" s="193"/>
      <c r="J103" s="194" t="s">
        <v>33</v>
      </c>
    </row>
    <row r="104" spans="2:10">
      <c r="B104" s="230"/>
      <c r="C104" s="188">
        <v>46122</v>
      </c>
      <c r="D104" s="189">
        <v>1.04</v>
      </c>
      <c r="E104" s="190" t="s">
        <v>30</v>
      </c>
      <c r="F104" s="195"/>
      <c r="G104" s="192"/>
      <c r="H104" s="193"/>
      <c r="I104" s="193"/>
      <c r="J104" s="194"/>
    </row>
    <row r="105" spans="2:10">
      <c r="B105" s="230"/>
      <c r="C105" s="188">
        <v>46123</v>
      </c>
      <c r="D105" s="189" t="s">
        <v>18</v>
      </c>
      <c r="E105" s="190"/>
      <c r="F105" s="190"/>
      <c r="G105" s="192"/>
      <c r="H105" s="193"/>
      <c r="I105" s="193"/>
      <c r="J105" s="194"/>
    </row>
    <row r="106" spans="2:10">
      <c r="B106" s="230"/>
      <c r="C106" s="188">
        <v>46124</v>
      </c>
      <c r="D106" s="189" t="s">
        <v>18</v>
      </c>
      <c r="E106" s="190"/>
      <c r="F106" s="190"/>
      <c r="G106" s="192"/>
      <c r="H106" s="193"/>
      <c r="I106" s="193"/>
      <c r="J106" s="194"/>
    </row>
    <row r="107" spans="2:10" ht="25.5" customHeight="1">
      <c r="B107" s="230"/>
      <c r="C107" s="188">
        <v>46125</v>
      </c>
      <c r="D107" s="189">
        <v>0.73</v>
      </c>
      <c r="E107" s="190" t="s">
        <v>95</v>
      </c>
      <c r="F107" s="190" t="s">
        <v>96</v>
      </c>
      <c r="G107" s="192">
        <v>46125</v>
      </c>
      <c r="H107" s="193" t="s">
        <v>167</v>
      </c>
      <c r="I107" s="193"/>
      <c r="J107" s="194" t="s">
        <v>33</v>
      </c>
    </row>
    <row r="108" spans="2:10" ht="25.5">
      <c r="B108" s="230"/>
      <c r="C108" s="188">
        <v>46126</v>
      </c>
      <c r="D108" s="189">
        <v>0.88</v>
      </c>
      <c r="E108" s="190" t="s">
        <v>97</v>
      </c>
      <c r="F108" s="190" t="s">
        <v>98</v>
      </c>
      <c r="G108" s="192">
        <v>46126</v>
      </c>
      <c r="H108" s="193" t="s">
        <v>167</v>
      </c>
      <c r="I108" s="193"/>
      <c r="J108" s="194" t="s">
        <v>33</v>
      </c>
    </row>
    <row r="109" spans="2:10">
      <c r="B109" s="230"/>
      <c r="C109" s="188">
        <v>46127</v>
      </c>
      <c r="D109" s="189">
        <v>0.93</v>
      </c>
      <c r="E109" s="190" t="s">
        <v>30</v>
      </c>
      <c r="F109" s="195" t="s">
        <v>99</v>
      </c>
      <c r="G109" s="192">
        <v>46127</v>
      </c>
      <c r="H109" s="193" t="s">
        <v>170</v>
      </c>
      <c r="I109" s="193"/>
      <c r="J109" s="194" t="s">
        <v>33</v>
      </c>
    </row>
    <row r="110" spans="2:10" ht="25.5">
      <c r="B110" s="230"/>
      <c r="C110" s="188">
        <v>46128</v>
      </c>
      <c r="D110" s="189">
        <v>0.68</v>
      </c>
      <c r="E110" s="190" t="s">
        <v>100</v>
      </c>
      <c r="F110" s="195"/>
      <c r="G110" s="192"/>
      <c r="H110" s="193"/>
      <c r="I110" s="193"/>
      <c r="J110" s="194"/>
    </row>
    <row r="111" spans="2:10" ht="25.5">
      <c r="B111" s="230"/>
      <c r="C111" s="188">
        <v>46129</v>
      </c>
      <c r="D111" s="189">
        <v>0.79</v>
      </c>
      <c r="E111" s="190" t="s">
        <v>100</v>
      </c>
      <c r="F111" s="195"/>
      <c r="G111" s="192"/>
      <c r="H111" s="193"/>
      <c r="I111" s="193"/>
      <c r="J111" s="194"/>
    </row>
    <row r="112" spans="2:10">
      <c r="B112" s="230"/>
      <c r="C112" s="188">
        <v>46130</v>
      </c>
      <c r="D112" s="189" t="s">
        <v>18</v>
      </c>
      <c r="E112" s="190"/>
      <c r="F112" s="195"/>
      <c r="G112" s="192"/>
      <c r="H112" s="193"/>
      <c r="I112" s="193"/>
      <c r="J112" s="194"/>
    </row>
    <row r="113" spans="2:10">
      <c r="B113" s="230"/>
      <c r="C113" s="188">
        <v>46131</v>
      </c>
      <c r="D113" s="189" t="s">
        <v>18</v>
      </c>
      <c r="E113" s="190"/>
      <c r="F113" s="195"/>
      <c r="G113" s="192"/>
      <c r="H113" s="193"/>
      <c r="I113" s="193"/>
      <c r="J113" s="194"/>
    </row>
    <row r="114" spans="2:10" ht="25.5">
      <c r="B114" s="230"/>
      <c r="C114" s="188">
        <v>46132</v>
      </c>
      <c r="D114" s="189">
        <v>0.76</v>
      </c>
      <c r="E114" s="190" t="s">
        <v>100</v>
      </c>
      <c r="F114" s="195"/>
      <c r="G114" s="192"/>
      <c r="H114" s="193"/>
      <c r="I114" s="193"/>
      <c r="J114" s="194"/>
    </row>
    <row r="115" spans="2:10" ht="25.5">
      <c r="B115" s="230"/>
      <c r="C115" s="188">
        <v>46133</v>
      </c>
      <c r="D115" s="189">
        <v>0.9</v>
      </c>
      <c r="E115" s="190" t="s">
        <v>101</v>
      </c>
      <c r="F115" s="195"/>
      <c r="G115" s="192"/>
      <c r="H115" s="193"/>
      <c r="I115" s="193"/>
      <c r="J115" s="194"/>
    </row>
    <row r="116" spans="2:10" ht="25.5">
      <c r="B116" s="230"/>
      <c r="C116" s="188">
        <v>46134</v>
      </c>
      <c r="D116" s="189">
        <v>0.9</v>
      </c>
      <c r="E116" s="190" t="s">
        <v>101</v>
      </c>
      <c r="F116" s="195"/>
      <c r="G116" s="192"/>
      <c r="H116" s="193"/>
      <c r="I116" s="193"/>
      <c r="J116" s="194"/>
    </row>
    <row r="117" spans="2:10">
      <c r="B117" s="230"/>
      <c r="C117" s="188">
        <v>46135</v>
      </c>
      <c r="D117" s="189">
        <v>1</v>
      </c>
      <c r="E117" s="190" t="s">
        <v>30</v>
      </c>
      <c r="F117" s="195"/>
      <c r="G117" s="192"/>
      <c r="H117" s="193"/>
      <c r="I117" s="193"/>
      <c r="J117" s="194"/>
    </row>
    <row r="118" spans="2:10">
      <c r="B118" s="230"/>
      <c r="C118" s="188">
        <v>46136</v>
      </c>
      <c r="D118" s="189">
        <v>0.99</v>
      </c>
      <c r="E118" s="190" t="s">
        <v>30</v>
      </c>
      <c r="F118" s="195"/>
      <c r="G118" s="192"/>
      <c r="H118" s="193"/>
      <c r="I118" s="193"/>
      <c r="J118" s="194"/>
    </row>
    <row r="119" spans="2:10">
      <c r="B119" s="230"/>
      <c r="C119" s="188">
        <v>46137</v>
      </c>
      <c r="D119" s="189"/>
      <c r="E119" s="190"/>
      <c r="F119" s="195"/>
      <c r="G119" s="192"/>
      <c r="H119" s="193"/>
      <c r="I119" s="193"/>
      <c r="J119" s="194"/>
    </row>
    <row r="120" spans="2:10">
      <c r="B120" s="230"/>
      <c r="C120" s="188">
        <v>46138</v>
      </c>
      <c r="D120" s="189"/>
      <c r="E120" s="190"/>
      <c r="F120" s="195"/>
      <c r="G120" s="192"/>
      <c r="H120" s="193"/>
      <c r="I120" s="193"/>
      <c r="J120" s="194"/>
    </row>
    <row r="121" spans="2:10">
      <c r="B121" s="230"/>
      <c r="C121" s="188">
        <v>46139</v>
      </c>
      <c r="D121" s="189"/>
      <c r="E121" s="190"/>
      <c r="F121" s="195"/>
      <c r="G121" s="192"/>
      <c r="H121" s="193"/>
      <c r="I121" s="193"/>
      <c r="J121" s="194"/>
    </row>
    <row r="122" spans="2:10">
      <c r="B122" s="230"/>
      <c r="C122" s="188">
        <v>46140</v>
      </c>
      <c r="D122" s="189"/>
      <c r="E122" s="190"/>
      <c r="F122" s="195"/>
      <c r="G122" s="192"/>
      <c r="H122" s="193"/>
      <c r="I122" s="193"/>
      <c r="J122" s="194"/>
    </row>
    <row r="123" spans="2:10">
      <c r="B123" s="230"/>
      <c r="C123" s="188">
        <v>46141</v>
      </c>
      <c r="D123" s="189"/>
      <c r="E123" s="190"/>
      <c r="F123" s="195"/>
      <c r="G123" s="192"/>
      <c r="H123" s="193"/>
      <c r="I123" s="193"/>
      <c r="J123" s="194"/>
    </row>
    <row r="124" spans="2:10" ht="13.5" customHeight="1" thickBot="1">
      <c r="B124" s="237"/>
      <c r="C124" s="196">
        <v>46142</v>
      </c>
      <c r="D124" s="197"/>
      <c r="E124" s="202"/>
      <c r="F124" s="199"/>
      <c r="G124" s="200"/>
      <c r="H124" s="198"/>
      <c r="I124" s="198"/>
      <c r="J124" s="201"/>
    </row>
  </sheetData>
  <mergeCells count="13">
    <mergeCell ref="I3:J3"/>
    <mergeCell ref="H3:H4"/>
    <mergeCell ref="F3:F4"/>
    <mergeCell ref="D3:D4"/>
    <mergeCell ref="B64:B94"/>
    <mergeCell ref="B95:B124"/>
    <mergeCell ref="B5:B35"/>
    <mergeCell ref="B2:C2"/>
    <mergeCell ref="B36:B63"/>
    <mergeCell ref="C3:C4"/>
    <mergeCell ref="B3:B4"/>
    <mergeCell ref="G3:G4"/>
    <mergeCell ref="E3:E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D151"/>
  <sheetViews>
    <sheetView showGridLines="0" workbookViewId="0">
      <selection activeCell="A27" sqref="A27"/>
    </sheetView>
  </sheetViews>
  <sheetFormatPr defaultColWidth="9" defaultRowHeight="12"/>
  <cols>
    <col min="1" max="1" width="1.5703125" style="63" customWidth="1"/>
    <col min="2" max="2" width="4.5703125" style="149" customWidth="1"/>
    <col min="3" max="3" width="9.42578125" style="63" customWidth="1"/>
    <col min="4" max="110" width="5.5703125" style="63" customWidth="1"/>
    <col min="111" max="111" width="1.85546875" style="63" customWidth="1"/>
    <col min="112" max="120" width="7.42578125" style="63" customWidth="1"/>
    <col min="121" max="130" width="6" style="63" customWidth="1"/>
    <col min="131" max="131" width="1.85546875" style="63" customWidth="1"/>
    <col min="132" max="140" width="7.42578125" style="63" customWidth="1"/>
    <col min="141" max="150" width="6" style="63" customWidth="1"/>
    <col min="151" max="151" width="1.85546875" style="63" customWidth="1"/>
    <col min="152" max="155" width="12.140625" style="63" customWidth="1"/>
    <col min="156" max="156" width="1.85546875" style="63" customWidth="1"/>
    <col min="157" max="160" width="12.140625" style="63" customWidth="1"/>
    <col min="161" max="161" width="9" style="63" customWidth="1"/>
    <col min="162" max="16384" width="9" style="63"/>
  </cols>
  <sheetData>
    <row r="1" spans="2:160">
      <c r="B1" s="63"/>
    </row>
    <row r="2" spans="2:160" ht="15" customHeight="1">
      <c r="B2" s="64" t="s">
        <v>102</v>
      </c>
    </row>
    <row r="3" spans="2:160">
      <c r="B3" s="63"/>
    </row>
    <row r="4" spans="2:160">
      <c r="B4" s="63"/>
    </row>
    <row r="5" spans="2:160">
      <c r="B5" s="63"/>
    </row>
    <row r="6" spans="2:160">
      <c r="B6" s="63"/>
    </row>
    <row r="7" spans="2:160">
      <c r="B7" s="63"/>
    </row>
    <row r="8" spans="2:160">
      <c r="B8" s="63"/>
    </row>
    <row r="9" spans="2:160">
      <c r="B9" s="63"/>
    </row>
    <row r="10" spans="2:160">
      <c r="B10" s="63"/>
    </row>
    <row r="11" spans="2:160">
      <c r="B11" s="63"/>
    </row>
    <row r="12" spans="2:160">
      <c r="B12" s="63"/>
    </row>
    <row r="13" spans="2:160">
      <c r="B13" s="63"/>
    </row>
    <row r="14" spans="2:160">
      <c r="B14" s="63"/>
    </row>
    <row r="15" spans="2:160" ht="12.75" customHeight="1" thickBot="1">
      <c r="B15" s="63" t="s">
        <v>103</v>
      </c>
      <c r="DG15" s="63" t="s">
        <v>104</v>
      </c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3" t="s">
        <v>105</v>
      </c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5"/>
      <c r="EP15" s="65"/>
      <c r="EQ15" s="65"/>
      <c r="ER15" s="65"/>
      <c r="ES15" s="65"/>
      <c r="ET15" s="65"/>
      <c r="EU15" s="63" t="s">
        <v>106</v>
      </c>
      <c r="EV15" s="65"/>
      <c r="EW15" s="65"/>
      <c r="EX15" s="65"/>
      <c r="EY15" s="65"/>
      <c r="EZ15" s="63" t="s">
        <v>107</v>
      </c>
      <c r="FA15" s="65"/>
      <c r="FB15" s="65"/>
      <c r="FC15" s="65"/>
      <c r="FD15" s="65"/>
    </row>
    <row r="16" spans="2:160" ht="15">
      <c r="B16" s="242" t="s">
        <v>108</v>
      </c>
      <c r="C16" s="243"/>
      <c r="D16" s="66">
        <v>46024</v>
      </c>
      <c r="E16" s="67">
        <v>46027</v>
      </c>
      <c r="F16" s="68">
        <v>46028</v>
      </c>
      <c r="G16" s="68">
        <v>46029</v>
      </c>
      <c r="H16" s="68">
        <v>46030</v>
      </c>
      <c r="I16" s="69">
        <v>46031</v>
      </c>
      <c r="J16" s="67">
        <v>46034</v>
      </c>
      <c r="K16" s="68">
        <v>46035</v>
      </c>
      <c r="L16" s="68">
        <v>46036</v>
      </c>
      <c r="M16" s="68">
        <v>46037</v>
      </c>
      <c r="N16" s="69">
        <v>46038</v>
      </c>
      <c r="O16" s="67">
        <v>46041</v>
      </c>
      <c r="P16" s="68">
        <v>46042</v>
      </c>
      <c r="Q16" s="68">
        <v>46043</v>
      </c>
      <c r="R16" s="68">
        <v>46044</v>
      </c>
      <c r="S16" s="69">
        <v>46045</v>
      </c>
      <c r="T16" s="67">
        <v>46048</v>
      </c>
      <c r="U16" s="68">
        <v>46049</v>
      </c>
      <c r="V16" s="68">
        <v>46050</v>
      </c>
      <c r="W16" s="68">
        <v>46051</v>
      </c>
      <c r="X16" s="69">
        <v>46052</v>
      </c>
      <c r="Y16" s="67">
        <v>46055</v>
      </c>
      <c r="Z16" s="68">
        <v>46056</v>
      </c>
      <c r="AA16" s="68">
        <v>46057</v>
      </c>
      <c r="AB16" s="68">
        <v>46058</v>
      </c>
      <c r="AC16" s="69">
        <v>46059</v>
      </c>
      <c r="AD16" s="67">
        <v>46062</v>
      </c>
      <c r="AE16" s="68">
        <v>46063</v>
      </c>
      <c r="AF16" s="68">
        <v>46064</v>
      </c>
      <c r="AG16" s="68">
        <v>46065</v>
      </c>
      <c r="AH16" s="70">
        <v>46066</v>
      </c>
      <c r="AI16" s="70">
        <v>46067</v>
      </c>
      <c r="AJ16" s="69">
        <v>46068</v>
      </c>
      <c r="AK16" s="67">
        <v>46069</v>
      </c>
      <c r="AL16" s="68">
        <v>46070</v>
      </c>
      <c r="AM16" s="68">
        <v>46071</v>
      </c>
      <c r="AN16" s="68">
        <v>46072</v>
      </c>
      <c r="AO16" s="70">
        <v>46073</v>
      </c>
      <c r="AP16" s="70">
        <v>46074</v>
      </c>
      <c r="AQ16" s="69">
        <v>46075</v>
      </c>
      <c r="AR16" s="67">
        <v>46076</v>
      </c>
      <c r="AS16" s="68">
        <v>46077</v>
      </c>
      <c r="AT16" s="68">
        <v>46078</v>
      </c>
      <c r="AU16" s="68">
        <v>46079</v>
      </c>
      <c r="AV16" s="68">
        <v>46080</v>
      </c>
      <c r="AW16" s="69">
        <v>46081</v>
      </c>
      <c r="AX16" s="67">
        <v>46082</v>
      </c>
      <c r="AY16" s="68">
        <v>46083</v>
      </c>
      <c r="AZ16" s="68">
        <v>46084</v>
      </c>
      <c r="BA16" s="68">
        <v>46085</v>
      </c>
      <c r="BB16" s="68">
        <v>46086</v>
      </c>
      <c r="BC16" s="68">
        <v>46087</v>
      </c>
      <c r="BD16" s="68">
        <v>46088</v>
      </c>
      <c r="BE16" s="69">
        <v>46089</v>
      </c>
      <c r="BF16" s="67">
        <v>46090</v>
      </c>
      <c r="BG16" s="68">
        <v>46091</v>
      </c>
      <c r="BH16" s="68">
        <v>46092</v>
      </c>
      <c r="BI16" s="68">
        <v>46093</v>
      </c>
      <c r="BJ16" s="68">
        <v>46094</v>
      </c>
      <c r="BK16" s="68">
        <v>46095</v>
      </c>
      <c r="BL16" s="69">
        <v>46096</v>
      </c>
      <c r="BM16" s="67">
        <v>46097</v>
      </c>
      <c r="BN16" s="68">
        <v>46098</v>
      </c>
      <c r="BO16" s="68">
        <v>46099</v>
      </c>
      <c r="BP16" s="68">
        <v>46100</v>
      </c>
      <c r="BQ16" s="68">
        <v>46101</v>
      </c>
      <c r="BR16" s="68">
        <v>46102</v>
      </c>
      <c r="BS16" s="69">
        <v>46103</v>
      </c>
      <c r="BT16" s="67">
        <v>46104</v>
      </c>
      <c r="BU16" s="68">
        <v>46105</v>
      </c>
      <c r="BV16" s="68">
        <v>46106</v>
      </c>
      <c r="BW16" s="68">
        <v>46107</v>
      </c>
      <c r="BX16" s="68">
        <v>46108</v>
      </c>
      <c r="BY16" s="68">
        <v>46109</v>
      </c>
      <c r="BZ16" s="70">
        <v>46110</v>
      </c>
      <c r="CA16" s="66">
        <v>46111</v>
      </c>
      <c r="CB16" s="69">
        <v>46112</v>
      </c>
      <c r="CC16" s="67">
        <v>46113</v>
      </c>
      <c r="CD16" s="68">
        <v>46114</v>
      </c>
      <c r="CE16" s="68">
        <v>46115</v>
      </c>
      <c r="CF16" s="68">
        <v>46116</v>
      </c>
      <c r="CG16" s="69">
        <v>46117</v>
      </c>
      <c r="CH16" s="67">
        <v>46118</v>
      </c>
      <c r="CI16" s="68">
        <v>46119</v>
      </c>
      <c r="CJ16" s="68">
        <v>46120</v>
      </c>
      <c r="CK16" s="68">
        <v>46121</v>
      </c>
      <c r="CL16" s="68">
        <v>46122</v>
      </c>
      <c r="CM16" s="68">
        <v>46123</v>
      </c>
      <c r="CN16" s="69">
        <v>46124</v>
      </c>
      <c r="CO16" s="67">
        <v>46125</v>
      </c>
      <c r="CP16" s="68">
        <v>46126</v>
      </c>
      <c r="CQ16" s="68">
        <v>46127</v>
      </c>
      <c r="CR16" s="68">
        <v>46128</v>
      </c>
      <c r="CS16" s="68">
        <v>46129</v>
      </c>
      <c r="CT16" s="68">
        <v>46130</v>
      </c>
      <c r="CU16" s="69">
        <v>46131</v>
      </c>
      <c r="CV16" s="67">
        <v>46132</v>
      </c>
      <c r="CW16" s="68">
        <v>46133</v>
      </c>
      <c r="CX16" s="68">
        <v>46134</v>
      </c>
      <c r="CY16" s="68">
        <v>46135</v>
      </c>
      <c r="CZ16" s="68">
        <v>46136</v>
      </c>
      <c r="DA16" s="68">
        <v>46137</v>
      </c>
      <c r="DB16" s="69">
        <v>46138</v>
      </c>
      <c r="DC16" s="67">
        <v>46139</v>
      </c>
      <c r="DD16" s="68">
        <v>46140</v>
      </c>
      <c r="DE16" s="68">
        <v>46141</v>
      </c>
      <c r="DF16" s="68">
        <v>46142</v>
      </c>
      <c r="DG16" s="71"/>
      <c r="DH16" s="72" t="s">
        <v>109</v>
      </c>
      <c r="DI16" s="73" t="s">
        <v>110</v>
      </c>
      <c r="DJ16" s="73" t="s">
        <v>111</v>
      </c>
      <c r="DK16" s="74" t="s">
        <v>112</v>
      </c>
      <c r="DL16" s="75" t="s">
        <v>113</v>
      </c>
      <c r="DM16" s="72" t="s">
        <v>114</v>
      </c>
      <c r="DN16" s="73" t="s">
        <v>115</v>
      </c>
      <c r="DO16" s="74" t="s">
        <v>116</v>
      </c>
      <c r="DP16" s="75" t="s">
        <v>117</v>
      </c>
      <c r="DQ16" s="72" t="s">
        <v>118</v>
      </c>
      <c r="DR16" s="73" t="s">
        <v>119</v>
      </c>
      <c r="DS16" s="74" t="s">
        <v>120</v>
      </c>
      <c r="DT16" s="74" t="s">
        <v>121</v>
      </c>
      <c r="DU16" s="75" t="s">
        <v>122</v>
      </c>
      <c r="DV16" s="72" t="s">
        <v>123</v>
      </c>
      <c r="DW16" s="73" t="s">
        <v>124</v>
      </c>
      <c r="DX16" s="74" t="s">
        <v>125</v>
      </c>
      <c r="DY16" s="74" t="s">
        <v>126</v>
      </c>
      <c r="DZ16" s="75" t="s">
        <v>127</v>
      </c>
      <c r="EB16" s="72" t="s">
        <v>109</v>
      </c>
      <c r="EC16" s="73" t="s">
        <v>110</v>
      </c>
      <c r="ED16" s="73" t="s">
        <v>111</v>
      </c>
      <c r="EE16" s="74" t="s">
        <v>112</v>
      </c>
      <c r="EF16" s="75" t="s">
        <v>113</v>
      </c>
      <c r="EG16" s="72" t="s">
        <v>114</v>
      </c>
      <c r="EH16" s="73" t="s">
        <v>115</v>
      </c>
      <c r="EI16" s="74" t="s">
        <v>116</v>
      </c>
      <c r="EJ16" s="75" t="s">
        <v>117</v>
      </c>
      <c r="EK16" s="72" t="s">
        <v>118</v>
      </c>
      <c r="EL16" s="73" t="s">
        <v>119</v>
      </c>
      <c r="EM16" s="74" t="s">
        <v>120</v>
      </c>
      <c r="EN16" s="74" t="s">
        <v>121</v>
      </c>
      <c r="EO16" s="75" t="s">
        <v>122</v>
      </c>
      <c r="EP16" s="72" t="s">
        <v>123</v>
      </c>
      <c r="EQ16" s="73" t="s">
        <v>124</v>
      </c>
      <c r="ER16" s="74" t="s">
        <v>125</v>
      </c>
      <c r="ES16" s="74" t="s">
        <v>126</v>
      </c>
      <c r="ET16" s="75" t="s">
        <v>127</v>
      </c>
      <c r="EV16" s="76" t="s">
        <v>128</v>
      </c>
      <c r="EW16" s="76" t="s">
        <v>129</v>
      </c>
      <c r="EX16" s="76" t="s">
        <v>130</v>
      </c>
      <c r="EY16" s="77" t="s">
        <v>131</v>
      </c>
      <c r="FA16" s="76" t="s">
        <v>128</v>
      </c>
      <c r="FB16" s="76" t="s">
        <v>129</v>
      </c>
      <c r="FC16" s="76" t="s">
        <v>130</v>
      </c>
      <c r="FD16" s="77" t="s">
        <v>131</v>
      </c>
    </row>
    <row r="17" spans="2:160">
      <c r="B17" s="246" t="s">
        <v>16</v>
      </c>
      <c r="C17" s="78" t="s">
        <v>132</v>
      </c>
      <c r="D17" s="79">
        <f t="shared" ref="D17:AI17" si="0">+D23+D29</f>
        <v>1273</v>
      </c>
      <c r="E17" s="80">
        <f t="shared" si="0"/>
        <v>1030</v>
      </c>
      <c r="F17" s="81">
        <f t="shared" si="0"/>
        <v>1247</v>
      </c>
      <c r="G17" s="81">
        <f t="shared" si="0"/>
        <v>1104</v>
      </c>
      <c r="H17" s="81">
        <f t="shared" si="0"/>
        <v>1249</v>
      </c>
      <c r="I17" s="82">
        <f t="shared" si="0"/>
        <v>1143</v>
      </c>
      <c r="J17" s="80">
        <f t="shared" si="0"/>
        <v>1069</v>
      </c>
      <c r="K17" s="81">
        <f t="shared" si="0"/>
        <v>1291</v>
      </c>
      <c r="L17" s="81">
        <f t="shared" si="0"/>
        <v>1217</v>
      </c>
      <c r="M17" s="81">
        <f t="shared" si="0"/>
        <v>1283</v>
      </c>
      <c r="N17" s="82">
        <f t="shared" si="0"/>
        <v>852</v>
      </c>
      <c r="O17" s="80">
        <f t="shared" si="0"/>
        <v>1090</v>
      </c>
      <c r="P17" s="81">
        <f t="shared" si="0"/>
        <v>1188</v>
      </c>
      <c r="Q17" s="81">
        <f t="shared" si="0"/>
        <v>852</v>
      </c>
      <c r="R17" s="81">
        <f t="shared" si="0"/>
        <v>1058</v>
      </c>
      <c r="S17" s="82">
        <f t="shared" si="0"/>
        <v>917</v>
      </c>
      <c r="T17" s="80">
        <f t="shared" si="0"/>
        <v>1332</v>
      </c>
      <c r="U17" s="81">
        <f t="shared" si="0"/>
        <v>1366</v>
      </c>
      <c r="V17" s="81">
        <f t="shared" si="0"/>
        <v>1396</v>
      </c>
      <c r="W17" s="81">
        <f t="shared" si="0"/>
        <v>1342</v>
      </c>
      <c r="X17" s="82">
        <f t="shared" si="0"/>
        <v>944</v>
      </c>
      <c r="Y17" s="80">
        <f t="shared" si="0"/>
        <v>1064</v>
      </c>
      <c r="Z17" s="81">
        <f t="shared" si="0"/>
        <v>1361</v>
      </c>
      <c r="AA17" s="81">
        <f t="shared" si="0"/>
        <v>1375</v>
      </c>
      <c r="AB17" s="81">
        <f t="shared" si="0"/>
        <v>1359</v>
      </c>
      <c r="AC17" s="82">
        <f t="shared" si="0"/>
        <v>1345</v>
      </c>
      <c r="AD17" s="80">
        <f t="shared" si="0"/>
        <v>1406</v>
      </c>
      <c r="AE17" s="81">
        <f t="shared" si="0"/>
        <v>1337</v>
      </c>
      <c r="AF17" s="81">
        <f t="shared" si="0"/>
        <v>1341</v>
      </c>
      <c r="AG17" s="81">
        <f t="shared" si="0"/>
        <v>1006</v>
      </c>
      <c r="AH17" s="81">
        <f t="shared" si="0"/>
        <v>1316</v>
      </c>
      <c r="AI17" s="81">
        <f t="shared" si="0"/>
        <v>845</v>
      </c>
      <c r="AJ17" s="82">
        <f t="shared" ref="AJ17:BO17" si="1">+AJ23+AJ29</f>
        <v>0</v>
      </c>
      <c r="AK17" s="80">
        <f t="shared" si="1"/>
        <v>0</v>
      </c>
      <c r="AL17" s="81">
        <f t="shared" si="1"/>
        <v>0</v>
      </c>
      <c r="AM17" s="81">
        <f t="shared" si="1"/>
        <v>0</v>
      </c>
      <c r="AN17" s="81">
        <f t="shared" si="1"/>
        <v>1274</v>
      </c>
      <c r="AO17" s="83">
        <f t="shared" si="1"/>
        <v>1354</v>
      </c>
      <c r="AP17" s="83">
        <f t="shared" si="1"/>
        <v>706</v>
      </c>
      <c r="AQ17" s="82">
        <f t="shared" si="1"/>
        <v>0</v>
      </c>
      <c r="AR17" s="80">
        <f t="shared" si="1"/>
        <v>1347</v>
      </c>
      <c r="AS17" s="81">
        <f t="shared" si="1"/>
        <v>1372</v>
      </c>
      <c r="AT17" s="81">
        <f t="shared" si="1"/>
        <v>1360</v>
      </c>
      <c r="AU17" s="81">
        <f t="shared" si="1"/>
        <v>1365</v>
      </c>
      <c r="AV17" s="83">
        <f t="shared" si="1"/>
        <v>1306</v>
      </c>
      <c r="AW17" s="82">
        <f t="shared" si="1"/>
        <v>0</v>
      </c>
      <c r="AX17" s="80">
        <f t="shared" si="1"/>
        <v>0</v>
      </c>
      <c r="AY17" s="81">
        <f t="shared" si="1"/>
        <v>0</v>
      </c>
      <c r="AZ17" s="81">
        <f t="shared" si="1"/>
        <v>1118</v>
      </c>
      <c r="BA17" s="81">
        <f t="shared" si="1"/>
        <v>1316</v>
      </c>
      <c r="BB17" s="83">
        <f t="shared" si="1"/>
        <v>1357</v>
      </c>
      <c r="BC17" s="83">
        <f t="shared" si="1"/>
        <v>1364</v>
      </c>
      <c r="BD17" s="83">
        <f t="shared" si="1"/>
        <v>0</v>
      </c>
      <c r="BE17" s="82">
        <f t="shared" si="1"/>
        <v>0</v>
      </c>
      <c r="BF17" s="80">
        <f t="shared" si="1"/>
        <v>1371</v>
      </c>
      <c r="BG17" s="81">
        <f t="shared" si="1"/>
        <v>1417</v>
      </c>
      <c r="BH17" s="81">
        <f t="shared" si="1"/>
        <v>1357</v>
      </c>
      <c r="BI17" s="81">
        <f t="shared" si="1"/>
        <v>1355</v>
      </c>
      <c r="BJ17" s="83">
        <f t="shared" si="1"/>
        <v>1220</v>
      </c>
      <c r="BK17" s="83">
        <f t="shared" si="1"/>
        <v>666</v>
      </c>
      <c r="BL17" s="82">
        <f t="shared" si="1"/>
        <v>0</v>
      </c>
      <c r="BM17" s="80">
        <f t="shared" si="1"/>
        <v>1337</v>
      </c>
      <c r="BN17" s="81">
        <f t="shared" si="1"/>
        <v>1348</v>
      </c>
      <c r="BO17" s="81">
        <f t="shared" si="1"/>
        <v>1403</v>
      </c>
      <c r="BP17" s="81">
        <f t="shared" ref="BP17:CU17" si="2">+BP23+BP29</f>
        <v>1356</v>
      </c>
      <c r="BQ17" s="83">
        <f t="shared" si="2"/>
        <v>687</v>
      </c>
      <c r="BR17" s="83">
        <f t="shared" si="2"/>
        <v>0</v>
      </c>
      <c r="BS17" s="82">
        <f t="shared" si="2"/>
        <v>0</v>
      </c>
      <c r="BT17" s="80">
        <f t="shared" si="2"/>
        <v>1273</v>
      </c>
      <c r="BU17" s="81">
        <f t="shared" si="2"/>
        <v>744</v>
      </c>
      <c r="BV17" s="81">
        <f t="shared" si="2"/>
        <v>1293</v>
      </c>
      <c r="BW17" s="81">
        <f t="shared" si="2"/>
        <v>1365</v>
      </c>
      <c r="BX17" s="83">
        <f t="shared" si="2"/>
        <v>1280</v>
      </c>
      <c r="BY17" s="83">
        <f t="shared" si="2"/>
        <v>0</v>
      </c>
      <c r="BZ17" s="83">
        <f t="shared" si="2"/>
        <v>0</v>
      </c>
      <c r="CA17" s="79">
        <f t="shared" si="2"/>
        <v>900</v>
      </c>
      <c r="CB17" s="82">
        <f t="shared" si="2"/>
        <v>917</v>
      </c>
      <c r="CC17" s="79">
        <f t="shared" si="2"/>
        <v>831</v>
      </c>
      <c r="CD17" s="83">
        <f t="shared" si="2"/>
        <v>940</v>
      </c>
      <c r="CE17" s="83">
        <f t="shared" si="2"/>
        <v>918</v>
      </c>
      <c r="CF17" s="83">
        <f t="shared" si="2"/>
        <v>0</v>
      </c>
      <c r="CG17" s="82">
        <f t="shared" si="2"/>
        <v>0</v>
      </c>
      <c r="CH17" s="80">
        <f t="shared" si="2"/>
        <v>0</v>
      </c>
      <c r="CI17" s="81">
        <f t="shared" si="2"/>
        <v>1123</v>
      </c>
      <c r="CJ17" s="81">
        <f t="shared" si="2"/>
        <v>785</v>
      </c>
      <c r="CK17" s="81">
        <f t="shared" si="2"/>
        <v>962</v>
      </c>
      <c r="CL17" s="83">
        <f t="shared" si="2"/>
        <v>1257</v>
      </c>
      <c r="CM17" s="83">
        <f t="shared" si="2"/>
        <v>0</v>
      </c>
      <c r="CN17" s="82">
        <f t="shared" si="2"/>
        <v>0</v>
      </c>
      <c r="CO17" s="80">
        <f t="shared" si="2"/>
        <v>0</v>
      </c>
      <c r="CP17" s="81">
        <f t="shared" si="2"/>
        <v>0</v>
      </c>
      <c r="CQ17" s="81">
        <f t="shared" si="2"/>
        <v>575</v>
      </c>
      <c r="CR17" s="81">
        <f t="shared" si="2"/>
        <v>849</v>
      </c>
      <c r="CS17" s="83">
        <f t="shared" si="2"/>
        <v>993</v>
      </c>
      <c r="CT17" s="83">
        <f t="shared" si="2"/>
        <v>0</v>
      </c>
      <c r="CU17" s="82">
        <f t="shared" si="2"/>
        <v>0</v>
      </c>
      <c r="CV17" s="80">
        <f t="shared" ref="CV17:DF17" si="3">+CV23+CV29</f>
        <v>985</v>
      </c>
      <c r="CW17" s="81">
        <f t="shared" si="3"/>
        <v>1124</v>
      </c>
      <c r="CX17" s="81">
        <f t="shared" si="3"/>
        <v>1126</v>
      </c>
      <c r="CY17" s="81">
        <f t="shared" si="3"/>
        <v>1224</v>
      </c>
      <c r="CZ17" s="83">
        <f t="shared" si="3"/>
        <v>1203</v>
      </c>
      <c r="DA17" s="83">
        <f t="shared" si="3"/>
        <v>0</v>
      </c>
      <c r="DB17" s="82">
        <f t="shared" si="3"/>
        <v>0</v>
      </c>
      <c r="DC17" s="80">
        <f t="shared" si="3"/>
        <v>0</v>
      </c>
      <c r="DD17" s="81">
        <f t="shared" si="3"/>
        <v>0</v>
      </c>
      <c r="DE17" s="81">
        <f t="shared" si="3"/>
        <v>0</v>
      </c>
      <c r="DF17" s="81">
        <f t="shared" si="3"/>
        <v>0</v>
      </c>
      <c r="DG17" s="71"/>
      <c r="DH17" s="80">
        <f t="shared" ref="DH17:DZ17" si="4">+DH23+DH29</f>
        <v>1273</v>
      </c>
      <c r="DI17" s="81">
        <f t="shared" si="4"/>
        <v>5773</v>
      </c>
      <c r="DJ17" s="81">
        <f t="shared" si="4"/>
        <v>5712</v>
      </c>
      <c r="DK17" s="81">
        <f t="shared" si="4"/>
        <v>5105</v>
      </c>
      <c r="DL17" s="82">
        <f t="shared" si="4"/>
        <v>6380</v>
      </c>
      <c r="DM17" s="80">
        <f t="shared" si="4"/>
        <v>6504</v>
      </c>
      <c r="DN17" s="81">
        <f t="shared" si="4"/>
        <v>7251</v>
      </c>
      <c r="DO17" s="81">
        <f t="shared" si="4"/>
        <v>3334</v>
      </c>
      <c r="DP17" s="82">
        <f t="shared" si="4"/>
        <v>6750</v>
      </c>
      <c r="DQ17" s="80">
        <f t="shared" si="4"/>
        <v>5155</v>
      </c>
      <c r="DR17" s="81">
        <f t="shared" si="4"/>
        <v>7386</v>
      </c>
      <c r="DS17" s="81">
        <f t="shared" si="4"/>
        <v>6131</v>
      </c>
      <c r="DT17" s="81">
        <f t="shared" si="4"/>
        <v>5955</v>
      </c>
      <c r="DU17" s="82">
        <f t="shared" si="4"/>
        <v>1817</v>
      </c>
      <c r="DV17" s="80">
        <f t="shared" si="4"/>
        <v>2689</v>
      </c>
      <c r="DW17" s="81">
        <f t="shared" si="4"/>
        <v>4127</v>
      </c>
      <c r="DX17" s="81">
        <f t="shared" si="4"/>
        <v>2417</v>
      </c>
      <c r="DY17" s="81">
        <f t="shared" si="4"/>
        <v>5662</v>
      </c>
      <c r="DZ17" s="82">
        <f t="shared" si="4"/>
        <v>4677</v>
      </c>
      <c r="EB17" s="80">
        <f t="shared" ref="EB17:ET17" si="5">+EB23+EB29</f>
        <v>1273</v>
      </c>
      <c r="EC17" s="81">
        <f t="shared" si="5"/>
        <v>1154.5999999999999</v>
      </c>
      <c r="ED17" s="81">
        <f t="shared" si="5"/>
        <v>1142.4000000000001</v>
      </c>
      <c r="EE17" s="81">
        <f t="shared" si="5"/>
        <v>1021</v>
      </c>
      <c r="EF17" s="82">
        <f t="shared" si="5"/>
        <v>1276</v>
      </c>
      <c r="EG17" s="80">
        <f t="shared" si="5"/>
        <v>1300.8</v>
      </c>
      <c r="EH17" s="81">
        <f t="shared" si="5"/>
        <v>1208.5</v>
      </c>
      <c r="EI17" s="81">
        <f t="shared" si="5"/>
        <v>1335.5</v>
      </c>
      <c r="EJ17" s="82">
        <f t="shared" si="5"/>
        <v>1125</v>
      </c>
      <c r="EK17" s="80">
        <f t="shared" si="5"/>
        <v>1288.75</v>
      </c>
      <c r="EL17" s="81">
        <f t="shared" si="5"/>
        <v>1343.3</v>
      </c>
      <c r="EM17" s="81">
        <f t="shared" si="5"/>
        <v>1226.2</v>
      </c>
      <c r="EN17" s="81">
        <f t="shared" si="5"/>
        <v>1191</v>
      </c>
      <c r="EO17" s="82">
        <f t="shared" si="5"/>
        <v>908.5</v>
      </c>
      <c r="EP17" s="80">
        <f t="shared" si="5"/>
        <v>896.33333333333326</v>
      </c>
      <c r="EQ17" s="81">
        <f t="shared" si="5"/>
        <v>1031.75</v>
      </c>
      <c r="ER17" s="81">
        <f t="shared" si="5"/>
        <v>960.83333333333326</v>
      </c>
      <c r="ES17" s="81">
        <f t="shared" si="5"/>
        <v>0</v>
      </c>
      <c r="ET17" s="82">
        <f t="shared" si="5"/>
        <v>0</v>
      </c>
      <c r="EV17" s="84">
        <f t="shared" ref="EV17:EY20" si="6">+EV23+EV29</f>
        <v>24243</v>
      </c>
      <c r="EW17" s="84">
        <f t="shared" si="6"/>
        <v>23839</v>
      </c>
      <c r="EX17" s="84">
        <f t="shared" si="6"/>
        <v>26444</v>
      </c>
      <c r="EY17" s="85">
        <f t="shared" si="6"/>
        <v>19572</v>
      </c>
      <c r="FA17" s="84">
        <f t="shared" ref="FA17:FD20" si="7">+FA23+FA29</f>
        <v>1173.4000000000001</v>
      </c>
      <c r="FB17" s="84">
        <f t="shared" si="7"/>
        <v>1242.45</v>
      </c>
      <c r="FC17" s="84">
        <f t="shared" si="7"/>
        <v>1191.5500000000002</v>
      </c>
      <c r="FD17" s="85">
        <f t="shared" si="7"/>
        <v>962.97222222222217</v>
      </c>
    </row>
    <row r="18" spans="2:160" s="93" customFormat="1">
      <c r="B18" s="230"/>
      <c r="C18" s="86" t="s">
        <v>133</v>
      </c>
      <c r="D18" s="87">
        <f t="shared" ref="D18:AI18" si="8">+D24+D30</f>
        <v>1230</v>
      </c>
      <c r="E18" s="88">
        <f t="shared" si="8"/>
        <v>990</v>
      </c>
      <c r="F18" s="89">
        <f t="shared" si="8"/>
        <v>1230</v>
      </c>
      <c r="G18" s="89">
        <f t="shared" si="8"/>
        <v>1065</v>
      </c>
      <c r="H18" s="89">
        <f t="shared" si="8"/>
        <v>1230</v>
      </c>
      <c r="I18" s="90">
        <f t="shared" si="8"/>
        <v>1095</v>
      </c>
      <c r="J18" s="88">
        <f t="shared" si="8"/>
        <v>1020</v>
      </c>
      <c r="K18" s="89">
        <f t="shared" si="8"/>
        <v>1275</v>
      </c>
      <c r="L18" s="89">
        <f t="shared" si="8"/>
        <v>1200</v>
      </c>
      <c r="M18" s="89">
        <f t="shared" si="8"/>
        <v>1260</v>
      </c>
      <c r="N18" s="90">
        <f t="shared" si="8"/>
        <v>825</v>
      </c>
      <c r="O18" s="88">
        <f t="shared" si="8"/>
        <v>1065</v>
      </c>
      <c r="P18" s="89">
        <f t="shared" si="8"/>
        <v>1170</v>
      </c>
      <c r="Q18" s="89">
        <f t="shared" si="8"/>
        <v>840</v>
      </c>
      <c r="R18" s="89">
        <f t="shared" si="8"/>
        <v>1050</v>
      </c>
      <c r="S18" s="90">
        <f t="shared" si="8"/>
        <v>900</v>
      </c>
      <c r="T18" s="88">
        <f t="shared" si="8"/>
        <v>1320</v>
      </c>
      <c r="U18" s="89">
        <f t="shared" si="8"/>
        <v>1350</v>
      </c>
      <c r="V18" s="89">
        <f t="shared" si="8"/>
        <v>1380</v>
      </c>
      <c r="W18" s="89">
        <f t="shared" si="8"/>
        <v>1320</v>
      </c>
      <c r="X18" s="90">
        <f t="shared" si="8"/>
        <v>930</v>
      </c>
      <c r="Y18" s="88">
        <f t="shared" si="8"/>
        <v>1050</v>
      </c>
      <c r="Z18" s="89">
        <f t="shared" si="8"/>
        <v>1350</v>
      </c>
      <c r="AA18" s="89">
        <f t="shared" si="8"/>
        <v>1365</v>
      </c>
      <c r="AB18" s="89">
        <f t="shared" si="8"/>
        <v>1335</v>
      </c>
      <c r="AC18" s="90">
        <f t="shared" si="8"/>
        <v>1335</v>
      </c>
      <c r="AD18" s="88">
        <f t="shared" si="8"/>
        <v>1395</v>
      </c>
      <c r="AE18" s="89">
        <f t="shared" si="8"/>
        <v>1320</v>
      </c>
      <c r="AF18" s="89">
        <f t="shared" si="8"/>
        <v>1335</v>
      </c>
      <c r="AG18" s="89">
        <f t="shared" si="8"/>
        <v>990</v>
      </c>
      <c r="AH18" s="89">
        <f t="shared" si="8"/>
        <v>1275</v>
      </c>
      <c r="AI18" s="89">
        <f t="shared" si="8"/>
        <v>825</v>
      </c>
      <c r="AJ18" s="90">
        <f t="shared" ref="AJ18:BO18" si="9">+AJ24+AJ30</f>
        <v>0</v>
      </c>
      <c r="AK18" s="88">
        <f t="shared" si="9"/>
        <v>0</v>
      </c>
      <c r="AL18" s="89">
        <f t="shared" si="9"/>
        <v>0</v>
      </c>
      <c r="AM18" s="89">
        <f t="shared" si="9"/>
        <v>0</v>
      </c>
      <c r="AN18" s="89">
        <f t="shared" si="9"/>
        <v>1260</v>
      </c>
      <c r="AO18" s="91">
        <f t="shared" si="9"/>
        <v>1335</v>
      </c>
      <c r="AP18" s="91">
        <f t="shared" si="9"/>
        <v>705</v>
      </c>
      <c r="AQ18" s="90">
        <f t="shared" si="9"/>
        <v>0</v>
      </c>
      <c r="AR18" s="88">
        <f t="shared" si="9"/>
        <v>1320</v>
      </c>
      <c r="AS18" s="89">
        <f t="shared" si="9"/>
        <v>1365</v>
      </c>
      <c r="AT18" s="89">
        <f t="shared" si="9"/>
        <v>1350</v>
      </c>
      <c r="AU18" s="89">
        <f t="shared" si="9"/>
        <v>1350</v>
      </c>
      <c r="AV18" s="91">
        <f t="shared" si="9"/>
        <v>1305</v>
      </c>
      <c r="AW18" s="90">
        <f t="shared" si="9"/>
        <v>0</v>
      </c>
      <c r="AX18" s="88">
        <f t="shared" si="9"/>
        <v>0</v>
      </c>
      <c r="AY18" s="89">
        <f t="shared" si="9"/>
        <v>0</v>
      </c>
      <c r="AZ18" s="89">
        <f t="shared" si="9"/>
        <v>1110</v>
      </c>
      <c r="BA18" s="89">
        <f t="shared" si="9"/>
        <v>1275</v>
      </c>
      <c r="BB18" s="91">
        <f t="shared" si="9"/>
        <v>1305</v>
      </c>
      <c r="BC18" s="91">
        <f t="shared" si="9"/>
        <v>1350</v>
      </c>
      <c r="BD18" s="91">
        <f t="shared" si="9"/>
        <v>0</v>
      </c>
      <c r="BE18" s="90">
        <f t="shared" si="9"/>
        <v>0</v>
      </c>
      <c r="BF18" s="88">
        <f t="shared" si="9"/>
        <v>1365</v>
      </c>
      <c r="BG18" s="89">
        <f t="shared" si="9"/>
        <v>1410</v>
      </c>
      <c r="BH18" s="89">
        <f t="shared" si="9"/>
        <v>1350</v>
      </c>
      <c r="BI18" s="89">
        <f t="shared" si="9"/>
        <v>1350</v>
      </c>
      <c r="BJ18" s="91">
        <f t="shared" si="9"/>
        <v>1215</v>
      </c>
      <c r="BK18" s="91">
        <f t="shared" si="9"/>
        <v>660</v>
      </c>
      <c r="BL18" s="90">
        <f t="shared" si="9"/>
        <v>0</v>
      </c>
      <c r="BM18" s="88">
        <f t="shared" si="9"/>
        <v>1320</v>
      </c>
      <c r="BN18" s="89">
        <f t="shared" si="9"/>
        <v>1335</v>
      </c>
      <c r="BO18" s="89">
        <f t="shared" si="9"/>
        <v>1395</v>
      </c>
      <c r="BP18" s="89">
        <f t="shared" ref="BP18:CU18" si="10">+BP24+BP30</f>
        <v>1350</v>
      </c>
      <c r="BQ18" s="91">
        <f t="shared" si="10"/>
        <v>675</v>
      </c>
      <c r="BR18" s="91">
        <f t="shared" si="10"/>
        <v>0</v>
      </c>
      <c r="BS18" s="90">
        <f t="shared" si="10"/>
        <v>0</v>
      </c>
      <c r="BT18" s="88">
        <f t="shared" si="10"/>
        <v>1260</v>
      </c>
      <c r="BU18" s="89">
        <f t="shared" si="10"/>
        <v>720</v>
      </c>
      <c r="BV18" s="89">
        <f t="shared" si="10"/>
        <v>1275</v>
      </c>
      <c r="BW18" s="89">
        <f t="shared" si="10"/>
        <v>1335</v>
      </c>
      <c r="BX18" s="91">
        <f t="shared" si="10"/>
        <v>1110</v>
      </c>
      <c r="BY18" s="91">
        <f t="shared" si="10"/>
        <v>0</v>
      </c>
      <c r="BZ18" s="91">
        <f t="shared" si="10"/>
        <v>0</v>
      </c>
      <c r="CA18" s="87">
        <f t="shared" si="10"/>
        <v>855</v>
      </c>
      <c r="CB18" s="90">
        <f t="shared" si="10"/>
        <v>825</v>
      </c>
      <c r="CC18" s="87">
        <f t="shared" si="10"/>
        <v>780</v>
      </c>
      <c r="CD18" s="91">
        <f t="shared" si="10"/>
        <v>915</v>
      </c>
      <c r="CE18" s="91">
        <f t="shared" si="10"/>
        <v>855</v>
      </c>
      <c r="CF18" s="91">
        <f t="shared" si="10"/>
        <v>0</v>
      </c>
      <c r="CG18" s="90">
        <f t="shared" si="10"/>
        <v>0</v>
      </c>
      <c r="CH18" s="88">
        <f t="shared" si="10"/>
        <v>0</v>
      </c>
      <c r="CI18" s="89">
        <f t="shared" si="10"/>
        <v>1095</v>
      </c>
      <c r="CJ18" s="89">
        <f t="shared" si="10"/>
        <v>750</v>
      </c>
      <c r="CK18" s="89">
        <f t="shared" si="10"/>
        <v>945</v>
      </c>
      <c r="CL18" s="91">
        <f t="shared" si="10"/>
        <v>1245</v>
      </c>
      <c r="CM18" s="91">
        <f t="shared" si="10"/>
        <v>0</v>
      </c>
      <c r="CN18" s="90">
        <f t="shared" si="10"/>
        <v>0</v>
      </c>
      <c r="CO18" s="88">
        <f t="shared" si="10"/>
        <v>0</v>
      </c>
      <c r="CP18" s="89">
        <f t="shared" si="10"/>
        <v>0</v>
      </c>
      <c r="CQ18" s="89">
        <f t="shared" si="10"/>
        <v>540</v>
      </c>
      <c r="CR18" s="89">
        <f t="shared" si="10"/>
        <v>810</v>
      </c>
      <c r="CS18" s="91">
        <f t="shared" si="10"/>
        <v>945</v>
      </c>
      <c r="CT18" s="91">
        <f t="shared" si="10"/>
        <v>0</v>
      </c>
      <c r="CU18" s="90">
        <f t="shared" si="10"/>
        <v>0</v>
      </c>
      <c r="CV18" s="88">
        <f t="shared" ref="CV18:DF18" si="11">+CV24+CV30</f>
        <v>915</v>
      </c>
      <c r="CW18" s="89">
        <f t="shared" si="11"/>
        <v>1080</v>
      </c>
      <c r="CX18" s="89">
        <f t="shared" si="11"/>
        <v>1080</v>
      </c>
      <c r="CY18" s="89">
        <f t="shared" si="11"/>
        <v>1200</v>
      </c>
      <c r="CZ18" s="91">
        <f t="shared" si="11"/>
        <v>1185</v>
      </c>
      <c r="DA18" s="91">
        <f t="shared" si="11"/>
        <v>0</v>
      </c>
      <c r="DB18" s="90">
        <f t="shared" si="11"/>
        <v>0</v>
      </c>
      <c r="DC18" s="88">
        <f t="shared" si="11"/>
        <v>0</v>
      </c>
      <c r="DD18" s="89">
        <f t="shared" si="11"/>
        <v>0</v>
      </c>
      <c r="DE18" s="89">
        <f t="shared" si="11"/>
        <v>0</v>
      </c>
      <c r="DF18" s="89">
        <f t="shared" si="11"/>
        <v>0</v>
      </c>
      <c r="DG18" s="92"/>
      <c r="DH18" s="88">
        <f t="shared" ref="DH18:DZ18" si="12">+DH24+DH30</f>
        <v>1230</v>
      </c>
      <c r="DI18" s="89">
        <f t="shared" si="12"/>
        <v>5610</v>
      </c>
      <c r="DJ18" s="89">
        <f t="shared" si="12"/>
        <v>5580</v>
      </c>
      <c r="DK18" s="89">
        <f t="shared" si="12"/>
        <v>5025</v>
      </c>
      <c r="DL18" s="90">
        <f t="shared" si="12"/>
        <v>6300</v>
      </c>
      <c r="DM18" s="88">
        <f t="shared" si="12"/>
        <v>6435</v>
      </c>
      <c r="DN18" s="89">
        <f t="shared" si="12"/>
        <v>7140</v>
      </c>
      <c r="DO18" s="89">
        <f t="shared" si="12"/>
        <v>3300</v>
      </c>
      <c r="DP18" s="90">
        <f t="shared" si="12"/>
        <v>6690</v>
      </c>
      <c r="DQ18" s="88">
        <f t="shared" si="12"/>
        <v>5040</v>
      </c>
      <c r="DR18" s="89">
        <f t="shared" si="12"/>
        <v>7350</v>
      </c>
      <c r="DS18" s="89">
        <f t="shared" si="12"/>
        <v>6075</v>
      </c>
      <c r="DT18" s="89">
        <f t="shared" si="12"/>
        <v>5700</v>
      </c>
      <c r="DU18" s="90">
        <f t="shared" si="12"/>
        <v>1680</v>
      </c>
      <c r="DV18" s="88">
        <f t="shared" si="12"/>
        <v>2550</v>
      </c>
      <c r="DW18" s="89">
        <f t="shared" si="12"/>
        <v>4035</v>
      </c>
      <c r="DX18" s="89">
        <f t="shared" si="12"/>
        <v>2295</v>
      </c>
      <c r="DY18" s="89">
        <f t="shared" si="12"/>
        <v>5460</v>
      </c>
      <c r="DZ18" s="90">
        <f t="shared" si="12"/>
        <v>4545</v>
      </c>
      <c r="EB18" s="88">
        <f t="shared" ref="EB18:ET18" si="13">+EB24+EB30</f>
        <v>1230</v>
      </c>
      <c r="EC18" s="89">
        <f t="shared" si="13"/>
        <v>1122</v>
      </c>
      <c r="ED18" s="89">
        <f t="shared" si="13"/>
        <v>1116</v>
      </c>
      <c r="EE18" s="89">
        <f t="shared" si="13"/>
        <v>1005</v>
      </c>
      <c r="EF18" s="90">
        <f t="shared" si="13"/>
        <v>1260</v>
      </c>
      <c r="EG18" s="88">
        <f t="shared" si="13"/>
        <v>1287</v>
      </c>
      <c r="EH18" s="89">
        <f t="shared" si="13"/>
        <v>1190</v>
      </c>
      <c r="EI18" s="89">
        <f t="shared" si="13"/>
        <v>1322.5</v>
      </c>
      <c r="EJ18" s="90">
        <f t="shared" si="13"/>
        <v>1115</v>
      </c>
      <c r="EK18" s="88">
        <f t="shared" si="13"/>
        <v>1260</v>
      </c>
      <c r="EL18" s="89">
        <f t="shared" si="13"/>
        <v>1337</v>
      </c>
      <c r="EM18" s="89">
        <f t="shared" si="13"/>
        <v>1215</v>
      </c>
      <c r="EN18" s="89">
        <f t="shared" si="13"/>
        <v>1140</v>
      </c>
      <c r="EO18" s="90">
        <f t="shared" si="13"/>
        <v>840</v>
      </c>
      <c r="EP18" s="88">
        <f t="shared" si="13"/>
        <v>850</v>
      </c>
      <c r="EQ18" s="89">
        <f t="shared" si="13"/>
        <v>1008.75</v>
      </c>
      <c r="ER18" s="89">
        <f t="shared" si="13"/>
        <v>915</v>
      </c>
      <c r="ES18" s="89">
        <f t="shared" si="13"/>
        <v>0</v>
      </c>
      <c r="ET18" s="90">
        <f t="shared" si="13"/>
        <v>0</v>
      </c>
      <c r="EV18" s="94">
        <f t="shared" si="6"/>
        <v>23745</v>
      </c>
      <c r="EW18" s="94">
        <f t="shared" si="6"/>
        <v>23565</v>
      </c>
      <c r="EX18" s="94">
        <f t="shared" si="6"/>
        <v>25845</v>
      </c>
      <c r="EY18" s="95">
        <f t="shared" si="6"/>
        <v>18885</v>
      </c>
      <c r="FA18" s="94">
        <f t="shared" si="7"/>
        <v>1146.5999999999999</v>
      </c>
      <c r="FB18" s="94">
        <f t="shared" si="7"/>
        <v>1228.625</v>
      </c>
      <c r="FC18" s="94">
        <f t="shared" si="7"/>
        <v>1158.4000000000001</v>
      </c>
      <c r="FD18" s="95">
        <f t="shared" si="7"/>
        <v>924.58333333333326</v>
      </c>
    </row>
    <row r="19" spans="2:160">
      <c r="B19" s="230"/>
      <c r="C19" s="96" t="s">
        <v>134</v>
      </c>
      <c r="D19" s="97">
        <f t="shared" ref="D19:AI19" si="14">+D25+D31</f>
        <v>74</v>
      </c>
      <c r="E19" s="98">
        <f t="shared" si="14"/>
        <v>75</v>
      </c>
      <c r="F19" s="99">
        <f t="shared" si="14"/>
        <v>51</v>
      </c>
      <c r="G19" s="99">
        <f t="shared" si="14"/>
        <v>79</v>
      </c>
      <c r="H19" s="99">
        <f t="shared" si="14"/>
        <v>43</v>
      </c>
      <c r="I19" s="100">
        <f t="shared" si="14"/>
        <v>97</v>
      </c>
      <c r="J19" s="98">
        <f t="shared" si="14"/>
        <v>82</v>
      </c>
      <c r="K19" s="99">
        <f t="shared" si="14"/>
        <v>48</v>
      </c>
      <c r="L19" s="99">
        <f t="shared" si="14"/>
        <v>47</v>
      </c>
      <c r="M19" s="99">
        <f t="shared" si="14"/>
        <v>45</v>
      </c>
      <c r="N19" s="100">
        <f t="shared" si="14"/>
        <v>43</v>
      </c>
      <c r="O19" s="98">
        <f t="shared" si="14"/>
        <v>138</v>
      </c>
      <c r="P19" s="99">
        <f t="shared" si="14"/>
        <v>67</v>
      </c>
      <c r="Q19" s="99">
        <f t="shared" si="14"/>
        <v>112</v>
      </c>
      <c r="R19" s="99">
        <f t="shared" si="14"/>
        <v>51</v>
      </c>
      <c r="S19" s="100">
        <f t="shared" si="14"/>
        <v>33</v>
      </c>
      <c r="T19" s="98">
        <f t="shared" si="14"/>
        <v>53</v>
      </c>
      <c r="U19" s="99">
        <f t="shared" si="14"/>
        <v>42</v>
      </c>
      <c r="V19" s="99">
        <f t="shared" si="14"/>
        <v>25</v>
      </c>
      <c r="W19" s="99">
        <f t="shared" si="14"/>
        <v>59</v>
      </c>
      <c r="X19" s="100">
        <f t="shared" si="14"/>
        <v>17</v>
      </c>
      <c r="Y19" s="98">
        <f t="shared" si="14"/>
        <v>30</v>
      </c>
      <c r="Z19" s="99">
        <f t="shared" si="14"/>
        <v>31</v>
      </c>
      <c r="AA19" s="99">
        <f t="shared" si="14"/>
        <v>18</v>
      </c>
      <c r="AB19" s="99">
        <f t="shared" si="14"/>
        <v>36</v>
      </c>
      <c r="AC19" s="100">
        <f t="shared" si="14"/>
        <v>28</v>
      </c>
      <c r="AD19" s="98">
        <f t="shared" si="14"/>
        <v>25</v>
      </c>
      <c r="AE19" s="99">
        <f t="shared" si="14"/>
        <v>40</v>
      </c>
      <c r="AF19" s="99">
        <f t="shared" si="14"/>
        <v>30</v>
      </c>
      <c r="AG19" s="99">
        <f t="shared" si="14"/>
        <v>45</v>
      </c>
      <c r="AH19" s="99">
        <f t="shared" si="14"/>
        <v>56</v>
      </c>
      <c r="AI19" s="99">
        <f t="shared" si="14"/>
        <v>26</v>
      </c>
      <c r="AJ19" s="100">
        <f t="shared" ref="AJ19:BO19" si="15">+AJ25+AJ31</f>
        <v>0</v>
      </c>
      <c r="AK19" s="98">
        <f t="shared" si="15"/>
        <v>0</v>
      </c>
      <c r="AL19" s="99">
        <f t="shared" si="15"/>
        <v>0</v>
      </c>
      <c r="AM19" s="99">
        <f t="shared" si="15"/>
        <v>0</v>
      </c>
      <c r="AN19" s="99">
        <f t="shared" si="15"/>
        <v>46</v>
      </c>
      <c r="AO19" s="101">
        <f t="shared" si="15"/>
        <v>34</v>
      </c>
      <c r="AP19" s="101">
        <f t="shared" si="15"/>
        <v>10</v>
      </c>
      <c r="AQ19" s="100">
        <f t="shared" si="15"/>
        <v>0</v>
      </c>
      <c r="AR19" s="98">
        <f t="shared" si="15"/>
        <v>50</v>
      </c>
      <c r="AS19" s="99">
        <f t="shared" si="15"/>
        <v>47</v>
      </c>
      <c r="AT19" s="99">
        <f t="shared" si="15"/>
        <v>32</v>
      </c>
      <c r="AU19" s="99">
        <f t="shared" si="15"/>
        <v>28</v>
      </c>
      <c r="AV19" s="101">
        <f t="shared" si="15"/>
        <v>17</v>
      </c>
      <c r="AW19" s="100">
        <f t="shared" si="15"/>
        <v>0</v>
      </c>
      <c r="AX19" s="98">
        <f t="shared" si="15"/>
        <v>0</v>
      </c>
      <c r="AY19" s="99">
        <f t="shared" si="15"/>
        <v>0</v>
      </c>
      <c r="AZ19" s="99">
        <f t="shared" si="15"/>
        <v>33</v>
      </c>
      <c r="BA19" s="99">
        <f t="shared" si="15"/>
        <v>92</v>
      </c>
      <c r="BB19" s="101">
        <f t="shared" si="15"/>
        <v>72</v>
      </c>
      <c r="BC19" s="101">
        <f t="shared" si="15"/>
        <v>27</v>
      </c>
      <c r="BD19" s="101">
        <f t="shared" si="15"/>
        <v>0</v>
      </c>
      <c r="BE19" s="100">
        <f t="shared" si="15"/>
        <v>0</v>
      </c>
      <c r="BF19" s="98">
        <f t="shared" si="15"/>
        <v>36</v>
      </c>
      <c r="BG19" s="99">
        <f t="shared" si="15"/>
        <v>28</v>
      </c>
      <c r="BH19" s="99">
        <f t="shared" si="15"/>
        <v>27</v>
      </c>
      <c r="BI19" s="99">
        <f t="shared" si="15"/>
        <v>26</v>
      </c>
      <c r="BJ19" s="101">
        <f t="shared" si="15"/>
        <v>32</v>
      </c>
      <c r="BK19" s="101">
        <f t="shared" si="15"/>
        <v>17</v>
      </c>
      <c r="BL19" s="100">
        <f t="shared" si="15"/>
        <v>0</v>
      </c>
      <c r="BM19" s="98">
        <f t="shared" si="15"/>
        <v>35</v>
      </c>
      <c r="BN19" s="99">
        <f t="shared" si="15"/>
        <v>32</v>
      </c>
      <c r="BO19" s="99">
        <f t="shared" si="15"/>
        <v>17</v>
      </c>
      <c r="BP19" s="99">
        <f t="shared" ref="BP19:CU19" si="16">+BP25+BP31</f>
        <v>14</v>
      </c>
      <c r="BQ19" s="101">
        <f t="shared" si="16"/>
        <v>12</v>
      </c>
      <c r="BR19" s="101">
        <f t="shared" si="16"/>
        <v>0</v>
      </c>
      <c r="BS19" s="100">
        <f t="shared" si="16"/>
        <v>0</v>
      </c>
      <c r="BT19" s="98">
        <f t="shared" si="16"/>
        <v>26</v>
      </c>
      <c r="BU19" s="99">
        <f t="shared" si="16"/>
        <v>41</v>
      </c>
      <c r="BV19" s="99">
        <f t="shared" si="16"/>
        <v>65</v>
      </c>
      <c r="BW19" s="99">
        <f t="shared" si="16"/>
        <v>41</v>
      </c>
      <c r="BX19" s="101">
        <f t="shared" si="16"/>
        <v>198</v>
      </c>
      <c r="BY19" s="101">
        <f t="shared" si="16"/>
        <v>0</v>
      </c>
      <c r="BZ19" s="101">
        <f t="shared" si="16"/>
        <v>0</v>
      </c>
      <c r="CA19" s="97">
        <f t="shared" si="16"/>
        <v>45</v>
      </c>
      <c r="CB19" s="100">
        <f t="shared" si="16"/>
        <v>92</v>
      </c>
      <c r="CC19" s="97">
        <f t="shared" si="16"/>
        <v>99</v>
      </c>
      <c r="CD19" s="101">
        <f t="shared" si="16"/>
        <v>83</v>
      </c>
      <c r="CE19" s="101">
        <f t="shared" si="16"/>
        <v>73</v>
      </c>
      <c r="CF19" s="101">
        <f t="shared" si="16"/>
        <v>0</v>
      </c>
      <c r="CG19" s="100">
        <f t="shared" si="16"/>
        <v>0</v>
      </c>
      <c r="CH19" s="98">
        <f t="shared" si="16"/>
        <v>0</v>
      </c>
      <c r="CI19" s="99">
        <f t="shared" si="16"/>
        <v>43</v>
      </c>
      <c r="CJ19" s="99">
        <f t="shared" si="16"/>
        <v>35</v>
      </c>
      <c r="CK19" s="99">
        <f t="shared" si="16"/>
        <v>17</v>
      </c>
      <c r="CL19" s="101">
        <f t="shared" si="16"/>
        <v>12</v>
      </c>
      <c r="CM19" s="101">
        <f t="shared" si="16"/>
        <v>0</v>
      </c>
      <c r="CN19" s="100">
        <f t="shared" si="16"/>
        <v>0</v>
      </c>
      <c r="CO19" s="98">
        <f t="shared" si="16"/>
        <v>0</v>
      </c>
      <c r="CP19" s="99">
        <f t="shared" si="16"/>
        <v>0</v>
      </c>
      <c r="CQ19" s="99">
        <f t="shared" si="16"/>
        <v>35</v>
      </c>
      <c r="CR19" s="99">
        <f t="shared" si="16"/>
        <v>74</v>
      </c>
      <c r="CS19" s="101">
        <f t="shared" si="16"/>
        <v>93</v>
      </c>
      <c r="CT19" s="101">
        <f t="shared" si="16"/>
        <v>0</v>
      </c>
      <c r="CU19" s="100">
        <f t="shared" si="16"/>
        <v>0</v>
      </c>
      <c r="CV19" s="98">
        <f t="shared" ref="CV19:DF19" si="17">+CV25+CV31</f>
        <v>70</v>
      </c>
      <c r="CW19" s="99">
        <f t="shared" si="17"/>
        <v>76</v>
      </c>
      <c r="CX19" s="99">
        <f t="shared" si="17"/>
        <v>71</v>
      </c>
      <c r="CY19" s="99">
        <f t="shared" si="17"/>
        <v>39</v>
      </c>
      <c r="CZ19" s="101">
        <f t="shared" si="17"/>
        <v>30</v>
      </c>
      <c r="DA19" s="101">
        <f t="shared" si="17"/>
        <v>0</v>
      </c>
      <c r="DB19" s="100">
        <f t="shared" si="17"/>
        <v>0</v>
      </c>
      <c r="DC19" s="98">
        <f t="shared" si="17"/>
        <v>0</v>
      </c>
      <c r="DD19" s="99">
        <f t="shared" si="17"/>
        <v>0</v>
      </c>
      <c r="DE19" s="99">
        <f t="shared" si="17"/>
        <v>0</v>
      </c>
      <c r="DF19" s="99">
        <f t="shared" si="17"/>
        <v>0</v>
      </c>
      <c r="DG19" s="71"/>
      <c r="DH19" s="98">
        <f t="shared" ref="DH19:DZ19" si="18">+DH25+DH31</f>
        <v>74</v>
      </c>
      <c r="DI19" s="99">
        <f t="shared" si="18"/>
        <v>345</v>
      </c>
      <c r="DJ19" s="99">
        <f t="shared" si="18"/>
        <v>265</v>
      </c>
      <c r="DK19" s="99">
        <f t="shared" si="18"/>
        <v>401</v>
      </c>
      <c r="DL19" s="100">
        <f t="shared" si="18"/>
        <v>196</v>
      </c>
      <c r="DM19" s="98">
        <f t="shared" si="18"/>
        <v>143</v>
      </c>
      <c r="DN19" s="99">
        <f t="shared" si="18"/>
        <v>222</v>
      </c>
      <c r="DO19" s="99">
        <f t="shared" si="18"/>
        <v>90</v>
      </c>
      <c r="DP19" s="100">
        <f t="shared" si="18"/>
        <v>174</v>
      </c>
      <c r="DQ19" s="98">
        <f t="shared" si="18"/>
        <v>224</v>
      </c>
      <c r="DR19" s="99">
        <f t="shared" si="18"/>
        <v>166</v>
      </c>
      <c r="DS19" s="99">
        <f t="shared" si="18"/>
        <v>110</v>
      </c>
      <c r="DT19" s="99">
        <f t="shared" si="18"/>
        <v>371</v>
      </c>
      <c r="DU19" s="100">
        <f t="shared" si="18"/>
        <v>137</v>
      </c>
      <c r="DV19" s="98">
        <f t="shared" si="18"/>
        <v>255</v>
      </c>
      <c r="DW19" s="99">
        <f t="shared" si="18"/>
        <v>107</v>
      </c>
      <c r="DX19" s="99">
        <f t="shared" si="18"/>
        <v>202</v>
      </c>
      <c r="DY19" s="99">
        <f t="shared" si="18"/>
        <v>286</v>
      </c>
      <c r="DZ19" s="100">
        <f t="shared" si="18"/>
        <v>216</v>
      </c>
      <c r="EB19" s="98">
        <f t="shared" ref="EB19:ET19" si="19">+EB25+EB31</f>
        <v>74</v>
      </c>
      <c r="EC19" s="99">
        <f t="shared" si="19"/>
        <v>69</v>
      </c>
      <c r="ED19" s="99">
        <f t="shared" si="19"/>
        <v>53</v>
      </c>
      <c r="EE19" s="99">
        <f t="shared" si="19"/>
        <v>80.2</v>
      </c>
      <c r="EF19" s="100">
        <f t="shared" si="19"/>
        <v>39.200000000000003</v>
      </c>
      <c r="EG19" s="98">
        <f t="shared" si="19"/>
        <v>28.6</v>
      </c>
      <c r="EH19" s="99">
        <f t="shared" si="19"/>
        <v>37</v>
      </c>
      <c r="EI19" s="99">
        <f t="shared" si="19"/>
        <v>35.666666666666671</v>
      </c>
      <c r="EJ19" s="100">
        <f t="shared" si="19"/>
        <v>29</v>
      </c>
      <c r="EK19" s="98">
        <f t="shared" si="19"/>
        <v>56</v>
      </c>
      <c r="EL19" s="99">
        <f t="shared" si="19"/>
        <v>30.4</v>
      </c>
      <c r="EM19" s="99">
        <f t="shared" si="19"/>
        <v>22</v>
      </c>
      <c r="EN19" s="99">
        <f t="shared" si="19"/>
        <v>74.199999999999989</v>
      </c>
      <c r="EO19" s="100">
        <f t="shared" si="19"/>
        <v>68.5</v>
      </c>
      <c r="EP19" s="98">
        <f t="shared" si="19"/>
        <v>85</v>
      </c>
      <c r="EQ19" s="99">
        <f t="shared" si="19"/>
        <v>26.75</v>
      </c>
      <c r="ER19" s="99">
        <f t="shared" si="19"/>
        <v>85.833333333333329</v>
      </c>
      <c r="ES19" s="99">
        <f t="shared" si="19"/>
        <v>0</v>
      </c>
      <c r="ET19" s="100">
        <f t="shared" si="19"/>
        <v>0</v>
      </c>
      <c r="EV19" s="102">
        <f t="shared" si="6"/>
        <v>1281</v>
      </c>
      <c r="EW19" s="102">
        <f t="shared" si="6"/>
        <v>629</v>
      </c>
      <c r="EX19" s="102">
        <f t="shared" si="6"/>
        <v>1008</v>
      </c>
      <c r="EY19" s="103">
        <f t="shared" si="6"/>
        <v>1066</v>
      </c>
      <c r="FA19" s="102">
        <f t="shared" si="7"/>
        <v>63.08</v>
      </c>
      <c r="FB19" s="102">
        <f t="shared" si="7"/>
        <v>32.566666666666663</v>
      </c>
      <c r="FC19" s="102">
        <f t="shared" si="7"/>
        <v>50.22</v>
      </c>
      <c r="FD19" s="103">
        <f t="shared" si="7"/>
        <v>65.861111111111114</v>
      </c>
    </row>
    <row r="20" spans="2:160">
      <c r="B20" s="230"/>
      <c r="C20" s="96" t="s">
        <v>135</v>
      </c>
      <c r="D20" s="97">
        <f t="shared" ref="D20:AI20" si="20">+D26+D32</f>
        <v>43</v>
      </c>
      <c r="E20" s="98">
        <f t="shared" si="20"/>
        <v>40</v>
      </c>
      <c r="F20" s="99">
        <f t="shared" si="20"/>
        <v>17</v>
      </c>
      <c r="G20" s="99">
        <f t="shared" si="20"/>
        <v>39</v>
      </c>
      <c r="H20" s="99">
        <f t="shared" si="20"/>
        <v>19</v>
      </c>
      <c r="I20" s="100">
        <f t="shared" si="20"/>
        <v>48</v>
      </c>
      <c r="J20" s="98">
        <f t="shared" si="20"/>
        <v>49</v>
      </c>
      <c r="K20" s="99">
        <f t="shared" si="20"/>
        <v>16</v>
      </c>
      <c r="L20" s="99">
        <f t="shared" si="20"/>
        <v>17</v>
      </c>
      <c r="M20" s="99">
        <f t="shared" si="20"/>
        <v>23</v>
      </c>
      <c r="N20" s="100">
        <f t="shared" si="20"/>
        <v>27</v>
      </c>
      <c r="O20" s="98">
        <f t="shared" si="20"/>
        <v>25</v>
      </c>
      <c r="P20" s="99">
        <f t="shared" si="20"/>
        <v>18</v>
      </c>
      <c r="Q20" s="99">
        <f t="shared" si="20"/>
        <v>12</v>
      </c>
      <c r="R20" s="99">
        <f t="shared" si="20"/>
        <v>8</v>
      </c>
      <c r="S20" s="100">
        <f t="shared" si="20"/>
        <v>17</v>
      </c>
      <c r="T20" s="98">
        <f t="shared" si="20"/>
        <v>12</v>
      </c>
      <c r="U20" s="99">
        <f t="shared" si="20"/>
        <v>16</v>
      </c>
      <c r="V20" s="99">
        <f t="shared" si="20"/>
        <v>16</v>
      </c>
      <c r="W20" s="99">
        <f t="shared" si="20"/>
        <v>22</v>
      </c>
      <c r="X20" s="100">
        <f t="shared" si="20"/>
        <v>14</v>
      </c>
      <c r="Y20" s="98">
        <f t="shared" si="20"/>
        <v>14</v>
      </c>
      <c r="Z20" s="99">
        <f t="shared" si="20"/>
        <v>11</v>
      </c>
      <c r="AA20" s="99">
        <f t="shared" si="20"/>
        <v>10</v>
      </c>
      <c r="AB20" s="99">
        <f t="shared" si="20"/>
        <v>24</v>
      </c>
      <c r="AC20" s="100">
        <f t="shared" si="20"/>
        <v>10</v>
      </c>
      <c r="AD20" s="98">
        <f t="shared" si="20"/>
        <v>11</v>
      </c>
      <c r="AE20" s="99">
        <f t="shared" si="20"/>
        <v>17</v>
      </c>
      <c r="AF20" s="99">
        <f t="shared" si="20"/>
        <v>6</v>
      </c>
      <c r="AG20" s="99">
        <f t="shared" si="20"/>
        <v>16</v>
      </c>
      <c r="AH20" s="99">
        <f t="shared" si="20"/>
        <v>41</v>
      </c>
      <c r="AI20" s="99">
        <f t="shared" si="20"/>
        <v>20</v>
      </c>
      <c r="AJ20" s="100">
        <f t="shared" ref="AJ20:BO20" si="21">+AJ26+AJ32</f>
        <v>0</v>
      </c>
      <c r="AK20" s="98">
        <f t="shared" si="21"/>
        <v>0</v>
      </c>
      <c r="AL20" s="99">
        <f t="shared" si="21"/>
        <v>0</v>
      </c>
      <c r="AM20" s="99">
        <f t="shared" si="21"/>
        <v>0</v>
      </c>
      <c r="AN20" s="99">
        <f t="shared" si="21"/>
        <v>14</v>
      </c>
      <c r="AO20" s="101">
        <f t="shared" si="21"/>
        <v>19</v>
      </c>
      <c r="AP20" s="101">
        <f t="shared" si="21"/>
        <v>1</v>
      </c>
      <c r="AQ20" s="100">
        <f t="shared" si="21"/>
        <v>0</v>
      </c>
      <c r="AR20" s="98">
        <f t="shared" si="21"/>
        <v>27</v>
      </c>
      <c r="AS20" s="99">
        <f t="shared" si="21"/>
        <v>7</v>
      </c>
      <c r="AT20" s="99">
        <f t="shared" si="21"/>
        <v>10</v>
      </c>
      <c r="AU20" s="99">
        <f t="shared" si="21"/>
        <v>15</v>
      </c>
      <c r="AV20" s="101">
        <f t="shared" si="21"/>
        <v>1</v>
      </c>
      <c r="AW20" s="100">
        <f t="shared" si="21"/>
        <v>0</v>
      </c>
      <c r="AX20" s="98">
        <f t="shared" si="21"/>
        <v>0</v>
      </c>
      <c r="AY20" s="99">
        <f t="shared" si="21"/>
        <v>0</v>
      </c>
      <c r="AZ20" s="99">
        <f t="shared" si="21"/>
        <v>8</v>
      </c>
      <c r="BA20" s="99">
        <f t="shared" si="21"/>
        <v>41</v>
      </c>
      <c r="BB20" s="101">
        <f t="shared" si="21"/>
        <v>52</v>
      </c>
      <c r="BC20" s="101">
        <f t="shared" si="21"/>
        <v>14</v>
      </c>
      <c r="BD20" s="101">
        <f t="shared" si="21"/>
        <v>0</v>
      </c>
      <c r="BE20" s="100">
        <f t="shared" si="21"/>
        <v>0</v>
      </c>
      <c r="BF20" s="98">
        <f t="shared" si="21"/>
        <v>6</v>
      </c>
      <c r="BG20" s="99">
        <f t="shared" si="21"/>
        <v>7</v>
      </c>
      <c r="BH20" s="99">
        <f t="shared" si="21"/>
        <v>7</v>
      </c>
      <c r="BI20" s="99">
        <f t="shared" si="21"/>
        <v>5</v>
      </c>
      <c r="BJ20" s="101">
        <f t="shared" si="21"/>
        <v>5</v>
      </c>
      <c r="BK20" s="101">
        <f t="shared" si="21"/>
        <v>6</v>
      </c>
      <c r="BL20" s="100">
        <f t="shared" si="21"/>
        <v>0</v>
      </c>
      <c r="BM20" s="98">
        <f t="shared" si="21"/>
        <v>17</v>
      </c>
      <c r="BN20" s="99">
        <f t="shared" si="21"/>
        <v>13</v>
      </c>
      <c r="BO20" s="99">
        <f t="shared" si="21"/>
        <v>8</v>
      </c>
      <c r="BP20" s="99">
        <f t="shared" ref="BP20:CU20" si="22">+BP26+BP32</f>
        <v>6</v>
      </c>
      <c r="BQ20" s="101">
        <f t="shared" si="22"/>
        <v>12</v>
      </c>
      <c r="BR20" s="101">
        <f t="shared" si="22"/>
        <v>0</v>
      </c>
      <c r="BS20" s="100">
        <f t="shared" si="22"/>
        <v>0</v>
      </c>
      <c r="BT20" s="98">
        <f t="shared" si="22"/>
        <v>13</v>
      </c>
      <c r="BU20" s="99">
        <f t="shared" si="22"/>
        <v>24</v>
      </c>
      <c r="BV20" s="99">
        <f t="shared" si="22"/>
        <v>15</v>
      </c>
      <c r="BW20" s="99">
        <f t="shared" si="22"/>
        <v>30</v>
      </c>
      <c r="BX20" s="101">
        <f t="shared" si="22"/>
        <v>170</v>
      </c>
      <c r="BY20" s="101">
        <f t="shared" si="22"/>
        <v>0</v>
      </c>
      <c r="BZ20" s="101">
        <f t="shared" si="22"/>
        <v>0</v>
      </c>
      <c r="CA20" s="97">
        <f t="shared" si="22"/>
        <v>26</v>
      </c>
      <c r="CB20" s="100">
        <f t="shared" si="22"/>
        <v>74</v>
      </c>
      <c r="CC20" s="97">
        <f t="shared" si="22"/>
        <v>51</v>
      </c>
      <c r="CD20" s="101">
        <f t="shared" si="22"/>
        <v>25</v>
      </c>
      <c r="CE20" s="101">
        <f t="shared" si="22"/>
        <v>63</v>
      </c>
      <c r="CF20" s="101">
        <f t="shared" si="22"/>
        <v>0</v>
      </c>
      <c r="CG20" s="100">
        <f t="shared" si="22"/>
        <v>0</v>
      </c>
      <c r="CH20" s="98">
        <f t="shared" si="22"/>
        <v>0</v>
      </c>
      <c r="CI20" s="99">
        <f t="shared" si="22"/>
        <v>28</v>
      </c>
      <c r="CJ20" s="99">
        <f t="shared" si="22"/>
        <v>35</v>
      </c>
      <c r="CK20" s="99">
        <f t="shared" si="22"/>
        <v>17</v>
      </c>
      <c r="CL20" s="101">
        <f t="shared" si="22"/>
        <v>12</v>
      </c>
      <c r="CM20" s="101">
        <f t="shared" si="22"/>
        <v>0</v>
      </c>
      <c r="CN20" s="100">
        <f t="shared" si="22"/>
        <v>0</v>
      </c>
      <c r="CO20" s="98">
        <f t="shared" si="22"/>
        <v>0</v>
      </c>
      <c r="CP20" s="99">
        <f t="shared" si="22"/>
        <v>0</v>
      </c>
      <c r="CQ20" s="99">
        <f t="shared" si="22"/>
        <v>35</v>
      </c>
      <c r="CR20" s="99">
        <f t="shared" si="22"/>
        <v>39</v>
      </c>
      <c r="CS20" s="101">
        <f t="shared" si="22"/>
        <v>48</v>
      </c>
      <c r="CT20" s="101">
        <f t="shared" si="22"/>
        <v>0</v>
      </c>
      <c r="CU20" s="100">
        <f t="shared" si="22"/>
        <v>0</v>
      </c>
      <c r="CV20" s="98">
        <f t="shared" ref="CV20:DF20" si="23">+CV26+CV32</f>
        <v>70</v>
      </c>
      <c r="CW20" s="99">
        <f t="shared" si="23"/>
        <v>44</v>
      </c>
      <c r="CX20" s="99">
        <f t="shared" si="23"/>
        <v>45</v>
      </c>
      <c r="CY20" s="99">
        <f t="shared" si="23"/>
        <v>24</v>
      </c>
      <c r="CZ20" s="101">
        <f t="shared" si="23"/>
        <v>18</v>
      </c>
      <c r="DA20" s="101">
        <f t="shared" si="23"/>
        <v>0</v>
      </c>
      <c r="DB20" s="100">
        <f t="shared" si="23"/>
        <v>0</v>
      </c>
      <c r="DC20" s="98">
        <f t="shared" si="23"/>
        <v>0</v>
      </c>
      <c r="DD20" s="99">
        <f t="shared" si="23"/>
        <v>0</v>
      </c>
      <c r="DE20" s="99">
        <f t="shared" si="23"/>
        <v>0</v>
      </c>
      <c r="DF20" s="99">
        <f t="shared" si="23"/>
        <v>0</v>
      </c>
      <c r="DG20" s="71"/>
      <c r="DH20" s="98">
        <f t="shared" ref="DH20:DZ20" si="24">+DH26+DH32</f>
        <v>43</v>
      </c>
      <c r="DI20" s="99">
        <f t="shared" si="24"/>
        <v>163</v>
      </c>
      <c r="DJ20" s="99">
        <f t="shared" si="24"/>
        <v>132</v>
      </c>
      <c r="DK20" s="99">
        <f t="shared" si="24"/>
        <v>80</v>
      </c>
      <c r="DL20" s="100">
        <f t="shared" si="24"/>
        <v>80</v>
      </c>
      <c r="DM20" s="98">
        <f t="shared" si="24"/>
        <v>69</v>
      </c>
      <c r="DN20" s="99">
        <f t="shared" si="24"/>
        <v>111</v>
      </c>
      <c r="DO20" s="99">
        <f t="shared" si="24"/>
        <v>34</v>
      </c>
      <c r="DP20" s="100">
        <f t="shared" si="24"/>
        <v>60</v>
      </c>
      <c r="DQ20" s="98">
        <f t="shared" si="24"/>
        <v>115</v>
      </c>
      <c r="DR20" s="99">
        <f t="shared" si="24"/>
        <v>36</v>
      </c>
      <c r="DS20" s="99">
        <f t="shared" si="24"/>
        <v>56</v>
      </c>
      <c r="DT20" s="99">
        <f t="shared" si="24"/>
        <v>252</v>
      </c>
      <c r="DU20" s="100">
        <f t="shared" si="24"/>
        <v>100</v>
      </c>
      <c r="DV20" s="98">
        <f t="shared" si="24"/>
        <v>139</v>
      </c>
      <c r="DW20" s="99">
        <f t="shared" si="24"/>
        <v>92</v>
      </c>
      <c r="DX20" s="99">
        <f t="shared" si="24"/>
        <v>122</v>
      </c>
      <c r="DY20" s="99">
        <f t="shared" si="24"/>
        <v>201</v>
      </c>
      <c r="DZ20" s="100">
        <f t="shared" si="24"/>
        <v>131</v>
      </c>
      <c r="EB20" s="98">
        <f t="shared" ref="EB20:ET20" si="25">+EB26+EB32</f>
        <v>43</v>
      </c>
      <c r="EC20" s="99">
        <f t="shared" si="25"/>
        <v>32.6</v>
      </c>
      <c r="ED20" s="99">
        <f t="shared" si="25"/>
        <v>26.4</v>
      </c>
      <c r="EE20" s="99">
        <f t="shared" si="25"/>
        <v>16</v>
      </c>
      <c r="EF20" s="100">
        <f t="shared" si="25"/>
        <v>16</v>
      </c>
      <c r="EG20" s="98">
        <f t="shared" si="25"/>
        <v>13.8</v>
      </c>
      <c r="EH20" s="99">
        <f t="shared" si="25"/>
        <v>18.5</v>
      </c>
      <c r="EI20" s="99">
        <f t="shared" si="25"/>
        <v>13</v>
      </c>
      <c r="EJ20" s="100">
        <f t="shared" si="25"/>
        <v>10</v>
      </c>
      <c r="EK20" s="98">
        <f t="shared" si="25"/>
        <v>28.75</v>
      </c>
      <c r="EL20" s="99">
        <f t="shared" si="25"/>
        <v>6.3</v>
      </c>
      <c r="EM20" s="99">
        <f t="shared" si="25"/>
        <v>11.2</v>
      </c>
      <c r="EN20" s="99">
        <f t="shared" si="25"/>
        <v>50.400000000000006</v>
      </c>
      <c r="EO20" s="100">
        <f t="shared" si="25"/>
        <v>50</v>
      </c>
      <c r="EP20" s="98">
        <f t="shared" si="25"/>
        <v>46.333333333333329</v>
      </c>
      <c r="EQ20" s="99">
        <f t="shared" si="25"/>
        <v>23</v>
      </c>
      <c r="ER20" s="99">
        <f t="shared" si="25"/>
        <v>45.833333333333329</v>
      </c>
      <c r="ES20" s="99">
        <f t="shared" si="25"/>
        <v>0</v>
      </c>
      <c r="ET20" s="100">
        <f t="shared" si="25"/>
        <v>0</v>
      </c>
      <c r="EV20" s="102">
        <f t="shared" si="6"/>
        <v>498</v>
      </c>
      <c r="EW20" s="102">
        <f t="shared" si="6"/>
        <v>274</v>
      </c>
      <c r="EX20" s="102">
        <f t="shared" si="6"/>
        <v>559</v>
      </c>
      <c r="EY20" s="103">
        <f t="shared" si="6"/>
        <v>685</v>
      </c>
      <c r="FA20" s="102">
        <f t="shared" si="7"/>
        <v>26.8</v>
      </c>
      <c r="FB20" s="102">
        <f t="shared" si="7"/>
        <v>13.824999999999999</v>
      </c>
      <c r="FC20" s="102">
        <f t="shared" si="7"/>
        <v>29.330000000000002</v>
      </c>
      <c r="FD20" s="103">
        <f t="shared" si="7"/>
        <v>38.388888888888886</v>
      </c>
    </row>
    <row r="21" spans="2:160">
      <c r="B21" s="230"/>
      <c r="C21" s="104" t="s">
        <v>136</v>
      </c>
      <c r="D21" s="105">
        <f t="shared" ref="D21:AI21" si="26">IFERROR(D19/D17,"")</f>
        <v>5.8130400628436767E-2</v>
      </c>
      <c r="E21" s="106">
        <f t="shared" si="26"/>
        <v>7.281553398058252E-2</v>
      </c>
      <c r="F21" s="107">
        <f t="shared" si="26"/>
        <v>4.0898155573376102E-2</v>
      </c>
      <c r="G21" s="107">
        <f t="shared" si="26"/>
        <v>7.1557971014492752E-2</v>
      </c>
      <c r="H21" s="107">
        <f t="shared" si="26"/>
        <v>3.4427542033626898E-2</v>
      </c>
      <c r="I21" s="104">
        <f t="shared" si="26"/>
        <v>8.4864391951006118E-2</v>
      </c>
      <c r="J21" s="106">
        <f t="shared" si="26"/>
        <v>7.6707202993451823E-2</v>
      </c>
      <c r="K21" s="107">
        <f t="shared" si="26"/>
        <v>3.7180480247869865E-2</v>
      </c>
      <c r="L21" s="107">
        <f t="shared" si="26"/>
        <v>3.8619556285949055E-2</v>
      </c>
      <c r="M21" s="107">
        <f t="shared" si="26"/>
        <v>3.5074045206547153E-2</v>
      </c>
      <c r="N21" s="104">
        <f t="shared" si="26"/>
        <v>5.0469483568075117E-2</v>
      </c>
      <c r="O21" s="106">
        <f t="shared" si="26"/>
        <v>0.12660550458715597</v>
      </c>
      <c r="P21" s="107">
        <f t="shared" si="26"/>
        <v>5.6397306397306397E-2</v>
      </c>
      <c r="Q21" s="107">
        <f t="shared" si="26"/>
        <v>0.13145539906103287</v>
      </c>
      <c r="R21" s="107">
        <f t="shared" si="26"/>
        <v>4.8204158790170135E-2</v>
      </c>
      <c r="S21" s="104">
        <f t="shared" si="26"/>
        <v>3.5986913849509271E-2</v>
      </c>
      <c r="T21" s="106">
        <f t="shared" si="26"/>
        <v>3.9789789789789788E-2</v>
      </c>
      <c r="U21" s="107">
        <f t="shared" si="26"/>
        <v>3.074670571010249E-2</v>
      </c>
      <c r="V21" s="107">
        <f t="shared" si="26"/>
        <v>1.7908309455587391E-2</v>
      </c>
      <c r="W21" s="107">
        <f t="shared" si="26"/>
        <v>4.3964232488822655E-2</v>
      </c>
      <c r="X21" s="104">
        <f t="shared" si="26"/>
        <v>1.8008474576271187E-2</v>
      </c>
      <c r="Y21" s="108">
        <f t="shared" si="26"/>
        <v>2.819548872180451E-2</v>
      </c>
      <c r="Z21" s="109">
        <f t="shared" si="26"/>
        <v>2.2777369581190303E-2</v>
      </c>
      <c r="AA21" s="109">
        <f t="shared" si="26"/>
        <v>1.3090909090909091E-2</v>
      </c>
      <c r="AB21" s="109">
        <f t="shared" si="26"/>
        <v>2.6490066225165563E-2</v>
      </c>
      <c r="AC21" s="110">
        <f t="shared" si="26"/>
        <v>2.0817843866171002E-2</v>
      </c>
      <c r="AD21" s="108">
        <f t="shared" si="26"/>
        <v>1.7780938833570414E-2</v>
      </c>
      <c r="AE21" s="109">
        <f t="shared" si="26"/>
        <v>2.9917726252804786E-2</v>
      </c>
      <c r="AF21" s="109">
        <f t="shared" si="26"/>
        <v>2.2371364653243849E-2</v>
      </c>
      <c r="AG21" s="109">
        <f t="shared" si="26"/>
        <v>4.4731610337972169E-2</v>
      </c>
      <c r="AH21" s="109">
        <f t="shared" si="26"/>
        <v>4.2553191489361701E-2</v>
      </c>
      <c r="AI21" s="109">
        <f t="shared" si="26"/>
        <v>3.0769230769230771E-2</v>
      </c>
      <c r="AJ21" s="110" t="str">
        <f t="shared" ref="AJ21:BO21" si="27">IFERROR(AJ19/AJ17,"")</f>
        <v/>
      </c>
      <c r="AK21" s="108" t="str">
        <f t="shared" si="27"/>
        <v/>
      </c>
      <c r="AL21" s="109" t="str">
        <f t="shared" si="27"/>
        <v/>
      </c>
      <c r="AM21" s="109" t="str">
        <f t="shared" si="27"/>
        <v/>
      </c>
      <c r="AN21" s="109">
        <f t="shared" si="27"/>
        <v>3.6106750392464679E-2</v>
      </c>
      <c r="AO21" s="111">
        <f t="shared" si="27"/>
        <v>2.5110782865583457E-2</v>
      </c>
      <c r="AP21" s="111">
        <f t="shared" si="27"/>
        <v>1.4164305949008499E-2</v>
      </c>
      <c r="AQ21" s="110" t="str">
        <f t="shared" si="27"/>
        <v/>
      </c>
      <c r="AR21" s="108">
        <f t="shared" si="27"/>
        <v>3.711952487008166E-2</v>
      </c>
      <c r="AS21" s="109">
        <f t="shared" si="27"/>
        <v>3.4256559766763846E-2</v>
      </c>
      <c r="AT21" s="109">
        <f t="shared" si="27"/>
        <v>2.3529411764705882E-2</v>
      </c>
      <c r="AU21" s="109">
        <f t="shared" si="27"/>
        <v>2.0512820512820513E-2</v>
      </c>
      <c r="AV21" s="111">
        <f t="shared" si="27"/>
        <v>1.3016845329249618E-2</v>
      </c>
      <c r="AW21" s="110" t="str">
        <f t="shared" si="27"/>
        <v/>
      </c>
      <c r="AX21" s="108" t="str">
        <f t="shared" si="27"/>
        <v/>
      </c>
      <c r="AY21" s="109" t="str">
        <f t="shared" si="27"/>
        <v/>
      </c>
      <c r="AZ21" s="109">
        <f t="shared" si="27"/>
        <v>2.9516994633273702E-2</v>
      </c>
      <c r="BA21" s="109">
        <f t="shared" si="27"/>
        <v>6.9908814589665649E-2</v>
      </c>
      <c r="BB21" s="111">
        <f t="shared" si="27"/>
        <v>5.305821665438467E-2</v>
      </c>
      <c r="BC21" s="111">
        <f t="shared" si="27"/>
        <v>1.9794721407624633E-2</v>
      </c>
      <c r="BD21" s="111" t="str">
        <f t="shared" si="27"/>
        <v/>
      </c>
      <c r="BE21" s="110" t="str">
        <f t="shared" si="27"/>
        <v/>
      </c>
      <c r="BF21" s="108">
        <f t="shared" si="27"/>
        <v>2.6258205689277898E-2</v>
      </c>
      <c r="BG21" s="109">
        <f t="shared" si="27"/>
        <v>1.9760056457304165E-2</v>
      </c>
      <c r="BH21" s="109">
        <f t="shared" si="27"/>
        <v>1.989683124539425E-2</v>
      </c>
      <c r="BI21" s="109">
        <f t="shared" si="27"/>
        <v>1.9188191881918819E-2</v>
      </c>
      <c r="BJ21" s="111">
        <f t="shared" si="27"/>
        <v>2.6229508196721311E-2</v>
      </c>
      <c r="BK21" s="111">
        <f t="shared" si="27"/>
        <v>2.5525525525525526E-2</v>
      </c>
      <c r="BL21" s="110" t="str">
        <f t="shared" si="27"/>
        <v/>
      </c>
      <c r="BM21" s="108">
        <f t="shared" si="27"/>
        <v>2.6178010471204188E-2</v>
      </c>
      <c r="BN21" s="109">
        <f t="shared" si="27"/>
        <v>2.3738872403560832E-2</v>
      </c>
      <c r="BO21" s="109">
        <f t="shared" si="27"/>
        <v>1.2116892373485389E-2</v>
      </c>
      <c r="BP21" s="109">
        <f t="shared" ref="BP21:CU21" si="28">IFERROR(BP19/BP17,"")</f>
        <v>1.0324483775811209E-2</v>
      </c>
      <c r="BQ21" s="111">
        <f t="shared" si="28"/>
        <v>1.7467248908296942E-2</v>
      </c>
      <c r="BR21" s="111" t="str">
        <f t="shared" si="28"/>
        <v/>
      </c>
      <c r="BS21" s="110" t="str">
        <f t="shared" si="28"/>
        <v/>
      </c>
      <c r="BT21" s="108">
        <f t="shared" si="28"/>
        <v>2.0424194815396701E-2</v>
      </c>
      <c r="BU21" s="109">
        <f t="shared" si="28"/>
        <v>5.510752688172043E-2</v>
      </c>
      <c r="BV21" s="109">
        <f t="shared" si="28"/>
        <v>5.0270688321732405E-2</v>
      </c>
      <c r="BW21" s="109">
        <f t="shared" si="28"/>
        <v>3.0036630036630037E-2</v>
      </c>
      <c r="BX21" s="111">
        <f t="shared" si="28"/>
        <v>0.15468750000000001</v>
      </c>
      <c r="BY21" s="111" t="str">
        <f t="shared" si="28"/>
        <v/>
      </c>
      <c r="BZ21" s="111" t="str">
        <f t="shared" si="28"/>
        <v/>
      </c>
      <c r="CA21" s="112">
        <f t="shared" si="28"/>
        <v>0.05</v>
      </c>
      <c r="CB21" s="110">
        <f t="shared" si="28"/>
        <v>0.10032715376226826</v>
      </c>
      <c r="CC21" s="112">
        <f t="shared" si="28"/>
        <v>0.11913357400722022</v>
      </c>
      <c r="CD21" s="111">
        <f t="shared" si="28"/>
        <v>8.8297872340425534E-2</v>
      </c>
      <c r="CE21" s="111">
        <f t="shared" si="28"/>
        <v>7.9520697167755991E-2</v>
      </c>
      <c r="CF21" s="111" t="str">
        <f t="shared" si="28"/>
        <v/>
      </c>
      <c r="CG21" s="110" t="str">
        <f t="shared" si="28"/>
        <v/>
      </c>
      <c r="CH21" s="108" t="str">
        <f t="shared" si="28"/>
        <v/>
      </c>
      <c r="CI21" s="109">
        <f t="shared" si="28"/>
        <v>3.8290293855743542E-2</v>
      </c>
      <c r="CJ21" s="109">
        <f t="shared" si="28"/>
        <v>4.4585987261146494E-2</v>
      </c>
      <c r="CK21" s="109">
        <f t="shared" si="28"/>
        <v>1.7671517671517672E-2</v>
      </c>
      <c r="CL21" s="111">
        <f t="shared" si="28"/>
        <v>9.5465393794749408E-3</v>
      </c>
      <c r="CM21" s="111" t="str">
        <f t="shared" si="28"/>
        <v/>
      </c>
      <c r="CN21" s="110" t="str">
        <f t="shared" si="28"/>
        <v/>
      </c>
      <c r="CO21" s="108" t="str">
        <f t="shared" si="28"/>
        <v/>
      </c>
      <c r="CP21" s="109" t="str">
        <f t="shared" si="28"/>
        <v/>
      </c>
      <c r="CQ21" s="109">
        <f t="shared" si="28"/>
        <v>6.0869565217391307E-2</v>
      </c>
      <c r="CR21" s="109">
        <f t="shared" si="28"/>
        <v>8.7161366313309771E-2</v>
      </c>
      <c r="CS21" s="111">
        <f t="shared" si="28"/>
        <v>9.3655589123867067E-2</v>
      </c>
      <c r="CT21" s="111" t="str">
        <f t="shared" si="28"/>
        <v/>
      </c>
      <c r="CU21" s="110" t="str">
        <f t="shared" si="28"/>
        <v/>
      </c>
      <c r="CV21" s="108">
        <f t="shared" ref="CV21:DF21" si="29">IFERROR(CV19/CV17,"")</f>
        <v>7.1065989847715741E-2</v>
      </c>
      <c r="CW21" s="109">
        <f t="shared" si="29"/>
        <v>6.7615658362989328E-2</v>
      </c>
      <c r="CX21" s="109">
        <f t="shared" si="29"/>
        <v>6.3055062166962703E-2</v>
      </c>
      <c r="CY21" s="109">
        <f t="shared" si="29"/>
        <v>3.1862745098039214E-2</v>
      </c>
      <c r="CZ21" s="111">
        <f t="shared" si="29"/>
        <v>2.4937655860349128E-2</v>
      </c>
      <c r="DA21" s="111" t="str">
        <f t="shared" si="29"/>
        <v/>
      </c>
      <c r="DB21" s="110" t="str">
        <f t="shared" si="29"/>
        <v/>
      </c>
      <c r="DC21" s="108" t="str">
        <f t="shared" si="29"/>
        <v/>
      </c>
      <c r="DD21" s="109" t="str">
        <f t="shared" si="29"/>
        <v/>
      </c>
      <c r="DE21" s="109" t="str">
        <f t="shared" si="29"/>
        <v/>
      </c>
      <c r="DF21" s="109" t="str">
        <f t="shared" si="29"/>
        <v/>
      </c>
      <c r="DG21" s="113"/>
      <c r="DH21" s="108">
        <f t="shared" ref="DH21:DZ21" si="30">IFERROR(DH19/DH17,"")</f>
        <v>5.8130400628436767E-2</v>
      </c>
      <c r="DI21" s="109">
        <f t="shared" si="30"/>
        <v>5.9760956175298807E-2</v>
      </c>
      <c r="DJ21" s="109">
        <f t="shared" si="30"/>
        <v>4.6393557422969189E-2</v>
      </c>
      <c r="DK21" s="109">
        <f t="shared" si="30"/>
        <v>7.8550440744368261E-2</v>
      </c>
      <c r="DL21" s="110">
        <f t="shared" si="30"/>
        <v>3.0721003134796237E-2</v>
      </c>
      <c r="DM21" s="108">
        <f t="shared" si="30"/>
        <v>2.1986469864698648E-2</v>
      </c>
      <c r="DN21" s="109">
        <f t="shared" si="30"/>
        <v>3.061646669424907E-2</v>
      </c>
      <c r="DO21" s="109">
        <f t="shared" si="30"/>
        <v>2.6994601079784044E-2</v>
      </c>
      <c r="DP21" s="110">
        <f t="shared" si="30"/>
        <v>2.5777777777777778E-2</v>
      </c>
      <c r="DQ21" s="108">
        <f t="shared" si="30"/>
        <v>4.3452958292919494E-2</v>
      </c>
      <c r="DR21" s="109">
        <f t="shared" si="30"/>
        <v>2.247495261305172E-2</v>
      </c>
      <c r="DS21" s="109">
        <f t="shared" si="30"/>
        <v>1.7941608220518674E-2</v>
      </c>
      <c r="DT21" s="109">
        <f t="shared" si="30"/>
        <v>6.2300587741393784E-2</v>
      </c>
      <c r="DU21" s="110">
        <f t="shared" si="30"/>
        <v>7.5399009356081459E-2</v>
      </c>
      <c r="DV21" s="108">
        <f t="shared" si="30"/>
        <v>9.4830792116028267E-2</v>
      </c>
      <c r="DW21" s="109">
        <f t="shared" si="30"/>
        <v>2.5926823358371699E-2</v>
      </c>
      <c r="DX21" s="109">
        <f t="shared" si="30"/>
        <v>8.3574679354571788E-2</v>
      </c>
      <c r="DY21" s="109">
        <f t="shared" si="30"/>
        <v>5.0512186506534794E-2</v>
      </c>
      <c r="DZ21" s="110">
        <f t="shared" si="30"/>
        <v>4.6183450930083386E-2</v>
      </c>
      <c r="EA21" s="114"/>
      <c r="EB21" s="108">
        <f t="shared" ref="EB21:ET21" si="31">IFERROR(EB19/EB17,"")</f>
        <v>5.8130400628436767E-2</v>
      </c>
      <c r="EC21" s="109">
        <f t="shared" si="31"/>
        <v>5.9760956175298807E-2</v>
      </c>
      <c r="ED21" s="109">
        <f t="shared" si="31"/>
        <v>4.6393557422969182E-2</v>
      </c>
      <c r="EE21" s="109">
        <f t="shared" si="31"/>
        <v>7.8550440744368275E-2</v>
      </c>
      <c r="EF21" s="110">
        <f t="shared" si="31"/>
        <v>3.072100313479624E-2</v>
      </c>
      <c r="EG21" s="108">
        <f t="shared" si="31"/>
        <v>2.1986469864698648E-2</v>
      </c>
      <c r="EH21" s="109">
        <f t="shared" si="31"/>
        <v>3.061646669424907E-2</v>
      </c>
      <c r="EI21" s="109">
        <f t="shared" si="31"/>
        <v>2.6706601772120309E-2</v>
      </c>
      <c r="EJ21" s="110">
        <f t="shared" si="31"/>
        <v>2.5777777777777778E-2</v>
      </c>
      <c r="EK21" s="108">
        <f t="shared" si="31"/>
        <v>4.3452958292919494E-2</v>
      </c>
      <c r="EL21" s="109">
        <f t="shared" si="31"/>
        <v>2.2630834512022632E-2</v>
      </c>
      <c r="EM21" s="109">
        <f t="shared" si="31"/>
        <v>1.7941608220518674E-2</v>
      </c>
      <c r="EN21" s="109">
        <f t="shared" si="31"/>
        <v>6.2300587741393777E-2</v>
      </c>
      <c r="EO21" s="110">
        <f t="shared" si="31"/>
        <v>7.5399009356081459E-2</v>
      </c>
      <c r="EP21" s="108">
        <f t="shared" si="31"/>
        <v>9.4830792116028267E-2</v>
      </c>
      <c r="EQ21" s="109">
        <f t="shared" si="31"/>
        <v>2.5926823358371699E-2</v>
      </c>
      <c r="ER21" s="109">
        <f t="shared" si="31"/>
        <v>8.9332176929748486E-2</v>
      </c>
      <c r="ES21" s="109" t="str">
        <f t="shared" si="31"/>
        <v/>
      </c>
      <c r="ET21" s="110" t="str">
        <f t="shared" si="31"/>
        <v/>
      </c>
      <c r="EU21" s="114"/>
      <c r="EV21" s="115">
        <f>IFERROR(EV19/EV17,"")</f>
        <v>5.2839995050117557E-2</v>
      </c>
      <c r="EW21" s="115">
        <f>IFERROR(EW19/EW17,"")</f>
        <v>2.6385334955325308E-2</v>
      </c>
      <c r="EX21" s="115">
        <f>IFERROR(EX19/EX17,"")</f>
        <v>3.8118287702314325E-2</v>
      </c>
      <c r="EY21" s="116">
        <f>IFERROR(EY19/EY17,"")</f>
        <v>5.4465563049254033E-2</v>
      </c>
      <c r="EZ21" s="114"/>
      <c r="FA21" s="115">
        <f>IFERROR(FA19/FA17,"")</f>
        <v>5.3758309186978007E-2</v>
      </c>
      <c r="FB21" s="115">
        <f>IFERROR(FB19/FB17,"")</f>
        <v>2.6211651709659674E-2</v>
      </c>
      <c r="FC21" s="115">
        <f>IFERROR(FC19/FC17,"")</f>
        <v>4.2146783601191715E-2</v>
      </c>
      <c r="FD21" s="116">
        <f>IFERROR(FD19/FD17,"")</f>
        <v>6.8393573138719826E-2</v>
      </c>
    </row>
    <row r="22" spans="2:160" s="93" customFormat="1" ht="12.75" customHeight="1" thickBot="1">
      <c r="B22" s="247"/>
      <c r="C22" s="117" t="s">
        <v>137</v>
      </c>
      <c r="D22" s="118">
        <f t="shared" ref="D22:AI22" si="32">IFERROR(D20/D17,"")</f>
        <v>3.3778476040848389E-2</v>
      </c>
      <c r="E22" s="119">
        <f t="shared" si="32"/>
        <v>3.8834951456310676E-2</v>
      </c>
      <c r="F22" s="120">
        <f t="shared" si="32"/>
        <v>1.3632718524458701E-2</v>
      </c>
      <c r="G22" s="120">
        <f t="shared" si="32"/>
        <v>3.5326086956521736E-2</v>
      </c>
      <c r="H22" s="120">
        <f t="shared" si="32"/>
        <v>1.5212169735788631E-2</v>
      </c>
      <c r="I22" s="121">
        <f t="shared" si="32"/>
        <v>4.1994750656167978E-2</v>
      </c>
      <c r="J22" s="119">
        <f t="shared" si="32"/>
        <v>4.5837231057062673E-2</v>
      </c>
      <c r="K22" s="120">
        <f t="shared" si="32"/>
        <v>1.2393493415956624E-2</v>
      </c>
      <c r="L22" s="120">
        <f t="shared" si="32"/>
        <v>1.3968775677896467E-2</v>
      </c>
      <c r="M22" s="120">
        <f t="shared" si="32"/>
        <v>1.7926734216679657E-2</v>
      </c>
      <c r="N22" s="121">
        <f t="shared" si="32"/>
        <v>3.1690140845070422E-2</v>
      </c>
      <c r="O22" s="119">
        <f t="shared" si="32"/>
        <v>2.2935779816513763E-2</v>
      </c>
      <c r="P22" s="120">
        <f t="shared" si="32"/>
        <v>1.5151515151515152E-2</v>
      </c>
      <c r="Q22" s="120">
        <f t="shared" si="32"/>
        <v>1.4084507042253521E-2</v>
      </c>
      <c r="R22" s="120">
        <f t="shared" si="32"/>
        <v>7.5614366729678641E-3</v>
      </c>
      <c r="S22" s="121">
        <f t="shared" si="32"/>
        <v>1.8538713195201745E-2</v>
      </c>
      <c r="T22" s="119">
        <f t="shared" si="32"/>
        <v>9.0090090090090089E-3</v>
      </c>
      <c r="U22" s="120">
        <f t="shared" si="32"/>
        <v>1.171303074670571E-2</v>
      </c>
      <c r="V22" s="120">
        <f t="shared" si="32"/>
        <v>1.1461318051575931E-2</v>
      </c>
      <c r="W22" s="120">
        <f t="shared" si="32"/>
        <v>1.6393442622950821E-2</v>
      </c>
      <c r="X22" s="121">
        <f t="shared" si="32"/>
        <v>1.4830508474576272E-2</v>
      </c>
      <c r="Y22" s="119">
        <f t="shared" si="32"/>
        <v>1.3157894736842105E-2</v>
      </c>
      <c r="Z22" s="120">
        <f t="shared" si="32"/>
        <v>8.0822924320352683E-3</v>
      </c>
      <c r="AA22" s="120">
        <f t="shared" si="32"/>
        <v>7.2727272727272727E-3</v>
      </c>
      <c r="AB22" s="120">
        <f t="shared" si="32"/>
        <v>1.7660044150110375E-2</v>
      </c>
      <c r="AC22" s="121">
        <f t="shared" si="32"/>
        <v>7.4349442379182153E-3</v>
      </c>
      <c r="AD22" s="119">
        <f t="shared" si="32"/>
        <v>7.8236130867709811E-3</v>
      </c>
      <c r="AE22" s="120">
        <f t="shared" si="32"/>
        <v>1.2715033657442034E-2</v>
      </c>
      <c r="AF22" s="120">
        <f t="shared" si="32"/>
        <v>4.4742729306487695E-3</v>
      </c>
      <c r="AG22" s="120">
        <f t="shared" si="32"/>
        <v>1.5904572564612324E-2</v>
      </c>
      <c r="AH22" s="120">
        <f t="shared" si="32"/>
        <v>3.115501519756839E-2</v>
      </c>
      <c r="AI22" s="120">
        <f t="shared" si="32"/>
        <v>2.3668639053254437E-2</v>
      </c>
      <c r="AJ22" s="121" t="str">
        <f t="shared" ref="AJ22:BO22" si="33">IFERROR(AJ20/AJ17,"")</f>
        <v/>
      </c>
      <c r="AK22" s="119" t="str">
        <f t="shared" si="33"/>
        <v/>
      </c>
      <c r="AL22" s="120" t="str">
        <f t="shared" si="33"/>
        <v/>
      </c>
      <c r="AM22" s="120" t="str">
        <f t="shared" si="33"/>
        <v/>
      </c>
      <c r="AN22" s="120">
        <f t="shared" si="33"/>
        <v>1.098901098901099E-2</v>
      </c>
      <c r="AO22" s="122">
        <f t="shared" si="33"/>
        <v>1.4032496307237814E-2</v>
      </c>
      <c r="AP22" s="122">
        <f t="shared" si="33"/>
        <v>1.4164305949008499E-3</v>
      </c>
      <c r="AQ22" s="121" t="str">
        <f t="shared" si="33"/>
        <v/>
      </c>
      <c r="AR22" s="119">
        <f t="shared" si="33"/>
        <v>2.0044543429844099E-2</v>
      </c>
      <c r="AS22" s="120">
        <f t="shared" si="33"/>
        <v>5.1020408163265302E-3</v>
      </c>
      <c r="AT22" s="120">
        <f t="shared" si="33"/>
        <v>7.3529411764705881E-3</v>
      </c>
      <c r="AU22" s="120">
        <f t="shared" si="33"/>
        <v>1.098901098901099E-2</v>
      </c>
      <c r="AV22" s="122">
        <f t="shared" si="33"/>
        <v>7.6569678407350692E-4</v>
      </c>
      <c r="AW22" s="121" t="str">
        <f t="shared" si="33"/>
        <v/>
      </c>
      <c r="AX22" s="119" t="str">
        <f t="shared" si="33"/>
        <v/>
      </c>
      <c r="AY22" s="120" t="str">
        <f t="shared" si="33"/>
        <v/>
      </c>
      <c r="AZ22" s="120">
        <f t="shared" si="33"/>
        <v>7.1556350626118068E-3</v>
      </c>
      <c r="BA22" s="120">
        <f t="shared" si="33"/>
        <v>3.115501519756839E-2</v>
      </c>
      <c r="BB22" s="122">
        <f t="shared" si="33"/>
        <v>3.8319823139277821E-2</v>
      </c>
      <c r="BC22" s="122">
        <f t="shared" si="33"/>
        <v>1.0263929618768328E-2</v>
      </c>
      <c r="BD22" s="122" t="str">
        <f t="shared" si="33"/>
        <v/>
      </c>
      <c r="BE22" s="121" t="str">
        <f t="shared" si="33"/>
        <v/>
      </c>
      <c r="BF22" s="119">
        <f t="shared" si="33"/>
        <v>4.3763676148796497E-3</v>
      </c>
      <c r="BG22" s="120">
        <f t="shared" si="33"/>
        <v>4.9400141143260412E-3</v>
      </c>
      <c r="BH22" s="120">
        <f t="shared" si="33"/>
        <v>5.1584377302873984E-3</v>
      </c>
      <c r="BI22" s="120">
        <f t="shared" si="33"/>
        <v>3.6900369003690036E-3</v>
      </c>
      <c r="BJ22" s="122">
        <f t="shared" si="33"/>
        <v>4.0983606557377051E-3</v>
      </c>
      <c r="BK22" s="122">
        <f t="shared" si="33"/>
        <v>9.0090090090090089E-3</v>
      </c>
      <c r="BL22" s="121" t="str">
        <f t="shared" si="33"/>
        <v/>
      </c>
      <c r="BM22" s="119">
        <f t="shared" si="33"/>
        <v>1.2715033657442034E-2</v>
      </c>
      <c r="BN22" s="120">
        <f t="shared" si="33"/>
        <v>9.6439169139465875E-3</v>
      </c>
      <c r="BO22" s="120">
        <f t="shared" si="33"/>
        <v>5.7020669992872419E-3</v>
      </c>
      <c r="BP22" s="120">
        <f t="shared" ref="BP22:CU22" si="34">IFERROR(BP20/BP17,"")</f>
        <v>4.4247787610619468E-3</v>
      </c>
      <c r="BQ22" s="122">
        <f t="shared" si="34"/>
        <v>1.7467248908296942E-2</v>
      </c>
      <c r="BR22" s="122" t="str">
        <f t="shared" si="34"/>
        <v/>
      </c>
      <c r="BS22" s="121" t="str">
        <f t="shared" si="34"/>
        <v/>
      </c>
      <c r="BT22" s="119">
        <f t="shared" si="34"/>
        <v>1.0212097407698351E-2</v>
      </c>
      <c r="BU22" s="120">
        <f t="shared" si="34"/>
        <v>3.2258064516129031E-2</v>
      </c>
      <c r="BV22" s="120">
        <f t="shared" si="34"/>
        <v>1.1600928074245939E-2</v>
      </c>
      <c r="BW22" s="120">
        <f t="shared" si="34"/>
        <v>2.197802197802198E-2</v>
      </c>
      <c r="BX22" s="122">
        <f t="shared" si="34"/>
        <v>0.1328125</v>
      </c>
      <c r="BY22" s="122" t="str">
        <f t="shared" si="34"/>
        <v/>
      </c>
      <c r="BZ22" s="122" t="str">
        <f t="shared" si="34"/>
        <v/>
      </c>
      <c r="CA22" s="118">
        <f t="shared" si="34"/>
        <v>2.8888888888888888E-2</v>
      </c>
      <c r="CB22" s="121">
        <f t="shared" si="34"/>
        <v>8.0697928026172303E-2</v>
      </c>
      <c r="CC22" s="118">
        <f t="shared" si="34"/>
        <v>6.1371841155234655E-2</v>
      </c>
      <c r="CD22" s="122">
        <f t="shared" si="34"/>
        <v>2.6595744680851064E-2</v>
      </c>
      <c r="CE22" s="122">
        <f t="shared" si="34"/>
        <v>6.8627450980392163E-2</v>
      </c>
      <c r="CF22" s="122" t="str">
        <f t="shared" si="34"/>
        <v/>
      </c>
      <c r="CG22" s="121" t="str">
        <f t="shared" si="34"/>
        <v/>
      </c>
      <c r="CH22" s="119" t="str">
        <f t="shared" si="34"/>
        <v/>
      </c>
      <c r="CI22" s="120">
        <f t="shared" si="34"/>
        <v>2.4933214603739984E-2</v>
      </c>
      <c r="CJ22" s="120">
        <f t="shared" si="34"/>
        <v>4.4585987261146494E-2</v>
      </c>
      <c r="CK22" s="120">
        <f t="shared" si="34"/>
        <v>1.7671517671517672E-2</v>
      </c>
      <c r="CL22" s="122">
        <f t="shared" si="34"/>
        <v>9.5465393794749408E-3</v>
      </c>
      <c r="CM22" s="122" t="str">
        <f t="shared" si="34"/>
        <v/>
      </c>
      <c r="CN22" s="121" t="str">
        <f t="shared" si="34"/>
        <v/>
      </c>
      <c r="CO22" s="119" t="str">
        <f t="shared" si="34"/>
        <v/>
      </c>
      <c r="CP22" s="120" t="str">
        <f t="shared" si="34"/>
        <v/>
      </c>
      <c r="CQ22" s="120">
        <f t="shared" si="34"/>
        <v>6.0869565217391307E-2</v>
      </c>
      <c r="CR22" s="120">
        <f t="shared" si="34"/>
        <v>4.5936395759717315E-2</v>
      </c>
      <c r="CS22" s="122">
        <f t="shared" si="34"/>
        <v>4.8338368580060423E-2</v>
      </c>
      <c r="CT22" s="122" t="str">
        <f t="shared" si="34"/>
        <v/>
      </c>
      <c r="CU22" s="121" t="str">
        <f t="shared" si="34"/>
        <v/>
      </c>
      <c r="CV22" s="119">
        <f t="shared" ref="CV22:DF22" si="35">IFERROR(CV20/CV17,"")</f>
        <v>7.1065989847715741E-2</v>
      </c>
      <c r="CW22" s="120">
        <f t="shared" si="35"/>
        <v>3.9145907473309607E-2</v>
      </c>
      <c r="CX22" s="120">
        <f t="shared" si="35"/>
        <v>3.9964476021314387E-2</v>
      </c>
      <c r="CY22" s="120">
        <f t="shared" si="35"/>
        <v>1.9607843137254902E-2</v>
      </c>
      <c r="CZ22" s="122">
        <f t="shared" si="35"/>
        <v>1.4962593516209476E-2</v>
      </c>
      <c r="DA22" s="122" t="str">
        <f t="shared" si="35"/>
        <v/>
      </c>
      <c r="DB22" s="121" t="str">
        <f t="shared" si="35"/>
        <v/>
      </c>
      <c r="DC22" s="119" t="str">
        <f t="shared" si="35"/>
        <v/>
      </c>
      <c r="DD22" s="120" t="str">
        <f t="shared" si="35"/>
        <v/>
      </c>
      <c r="DE22" s="120" t="str">
        <f t="shared" si="35"/>
        <v/>
      </c>
      <c r="DF22" s="120" t="str">
        <f t="shared" si="35"/>
        <v/>
      </c>
      <c r="DG22" s="92"/>
      <c r="DH22" s="119">
        <f t="shared" ref="DH22:DZ22" si="36">IFERROR(DH20/DH17,"")</f>
        <v>3.3778476040848389E-2</v>
      </c>
      <c r="DI22" s="120">
        <f t="shared" si="36"/>
        <v>2.8234886540793348E-2</v>
      </c>
      <c r="DJ22" s="120">
        <f t="shared" si="36"/>
        <v>2.3109243697478993E-2</v>
      </c>
      <c r="DK22" s="120">
        <f t="shared" si="36"/>
        <v>1.5670910871694418E-2</v>
      </c>
      <c r="DL22" s="121">
        <f t="shared" si="36"/>
        <v>1.2539184952978056E-2</v>
      </c>
      <c r="DM22" s="119">
        <f t="shared" si="36"/>
        <v>1.0608856088560886E-2</v>
      </c>
      <c r="DN22" s="120">
        <f t="shared" si="36"/>
        <v>1.5308233347124535E-2</v>
      </c>
      <c r="DO22" s="120">
        <f t="shared" si="36"/>
        <v>1.0197960407918417E-2</v>
      </c>
      <c r="DP22" s="121">
        <f t="shared" si="36"/>
        <v>8.8888888888888889E-3</v>
      </c>
      <c r="DQ22" s="119">
        <f t="shared" si="36"/>
        <v>2.2308438409311349E-2</v>
      </c>
      <c r="DR22" s="120">
        <f t="shared" si="36"/>
        <v>4.87408610885459E-3</v>
      </c>
      <c r="DS22" s="120">
        <f t="shared" si="36"/>
        <v>9.1339096395367803E-3</v>
      </c>
      <c r="DT22" s="120">
        <f t="shared" si="36"/>
        <v>4.2317380352644839E-2</v>
      </c>
      <c r="DU22" s="121">
        <f t="shared" si="36"/>
        <v>5.5035773252614197E-2</v>
      </c>
      <c r="DV22" s="119">
        <f t="shared" si="36"/>
        <v>5.1692078839717367E-2</v>
      </c>
      <c r="DW22" s="120">
        <f t="shared" si="36"/>
        <v>2.2292221952992488E-2</v>
      </c>
      <c r="DX22" s="120">
        <f t="shared" si="36"/>
        <v>5.0475796441870086E-2</v>
      </c>
      <c r="DY22" s="120">
        <f t="shared" si="36"/>
        <v>3.5499823383963264E-2</v>
      </c>
      <c r="DZ22" s="121">
        <f t="shared" si="36"/>
        <v>2.8009407740004277E-2</v>
      </c>
      <c r="EB22" s="119">
        <f t="shared" ref="EB22:ET22" si="37">IFERROR(EB20/EB17,"")</f>
        <v>3.3778476040848389E-2</v>
      </c>
      <c r="EC22" s="120">
        <f t="shared" si="37"/>
        <v>2.8234886540793352E-2</v>
      </c>
      <c r="ED22" s="120">
        <f t="shared" si="37"/>
        <v>2.3109243697478989E-2</v>
      </c>
      <c r="EE22" s="120">
        <f t="shared" si="37"/>
        <v>1.5670910871694418E-2</v>
      </c>
      <c r="EF22" s="121">
        <f t="shared" si="37"/>
        <v>1.2539184952978056E-2</v>
      </c>
      <c r="EG22" s="119">
        <f t="shared" si="37"/>
        <v>1.0608856088560886E-2</v>
      </c>
      <c r="EH22" s="120">
        <f t="shared" si="37"/>
        <v>1.5308233347124535E-2</v>
      </c>
      <c r="EI22" s="120">
        <f t="shared" si="37"/>
        <v>9.7341819543242235E-3</v>
      </c>
      <c r="EJ22" s="121">
        <f t="shared" si="37"/>
        <v>8.8888888888888889E-3</v>
      </c>
      <c r="EK22" s="119">
        <f t="shared" si="37"/>
        <v>2.2308438409311349E-2</v>
      </c>
      <c r="EL22" s="120">
        <f t="shared" si="37"/>
        <v>4.6899426784783741E-3</v>
      </c>
      <c r="EM22" s="120">
        <f t="shared" si="37"/>
        <v>9.1339096395367785E-3</v>
      </c>
      <c r="EN22" s="120">
        <f t="shared" si="37"/>
        <v>4.2317380352644839E-2</v>
      </c>
      <c r="EO22" s="121">
        <f t="shared" si="37"/>
        <v>5.5035773252614197E-2</v>
      </c>
      <c r="EP22" s="119">
        <f t="shared" si="37"/>
        <v>5.1692078839717367E-2</v>
      </c>
      <c r="EQ22" s="120">
        <f t="shared" si="37"/>
        <v>2.2292221952992488E-2</v>
      </c>
      <c r="ER22" s="120">
        <f t="shared" si="37"/>
        <v>4.7701647875108409E-2</v>
      </c>
      <c r="ES22" s="120" t="str">
        <f t="shared" si="37"/>
        <v/>
      </c>
      <c r="ET22" s="121" t="str">
        <f t="shared" si="37"/>
        <v/>
      </c>
      <c r="EV22" s="123">
        <f>IFERROR(EV20/EV17,"")</f>
        <v>2.0542012127211979E-2</v>
      </c>
      <c r="EW22" s="123">
        <f>IFERROR(EW20/EW17,"")</f>
        <v>1.1493770711858718E-2</v>
      </c>
      <c r="EX22" s="123">
        <f>IFERROR(EX20/EX17,"")</f>
        <v>2.1139010739676296E-2</v>
      </c>
      <c r="EY22" s="124">
        <f>IFERROR(EY20/EY17,"")</f>
        <v>3.4998978132025342E-2</v>
      </c>
      <c r="FA22" s="123">
        <f>IFERROR(FA20/FA17,"")</f>
        <v>2.2839611385716718E-2</v>
      </c>
      <c r="FB22" s="123">
        <f>IFERROR(FB20/FB17,"")</f>
        <v>1.1127208338363715E-2</v>
      </c>
      <c r="FC22" s="123">
        <f>IFERROR(FC20/FC17,"")</f>
        <v>2.4614997272460238E-2</v>
      </c>
      <c r="FD22" s="124">
        <f>IFERROR(FD20/FD17,"")</f>
        <v>3.9865001298064438E-2</v>
      </c>
    </row>
    <row r="23" spans="2:160">
      <c r="B23" s="251" t="s">
        <v>1</v>
      </c>
      <c r="C23" s="125" t="s">
        <v>132</v>
      </c>
      <c r="D23" s="126">
        <v>605</v>
      </c>
      <c r="E23" s="127">
        <v>366</v>
      </c>
      <c r="F23" s="128">
        <v>590</v>
      </c>
      <c r="G23" s="128">
        <v>474</v>
      </c>
      <c r="H23" s="128">
        <v>606</v>
      </c>
      <c r="I23" s="129">
        <v>657</v>
      </c>
      <c r="J23" s="127">
        <v>583</v>
      </c>
      <c r="K23" s="128">
        <v>628</v>
      </c>
      <c r="L23" s="128">
        <v>681</v>
      </c>
      <c r="M23" s="128">
        <v>667</v>
      </c>
      <c r="N23" s="129">
        <v>214</v>
      </c>
      <c r="O23" s="127">
        <v>530</v>
      </c>
      <c r="P23" s="128">
        <v>473</v>
      </c>
      <c r="Q23" s="128">
        <v>245</v>
      </c>
      <c r="R23" s="128">
        <v>515</v>
      </c>
      <c r="S23" s="129">
        <v>368</v>
      </c>
      <c r="T23" s="127">
        <v>684</v>
      </c>
      <c r="U23" s="128">
        <v>669</v>
      </c>
      <c r="V23" s="128">
        <v>685</v>
      </c>
      <c r="W23" s="128">
        <v>642</v>
      </c>
      <c r="X23" s="129">
        <v>319</v>
      </c>
      <c r="Y23" s="127">
        <v>300</v>
      </c>
      <c r="Z23" s="128">
        <v>678</v>
      </c>
      <c r="AA23" s="128">
        <v>692</v>
      </c>
      <c r="AB23" s="128">
        <v>678</v>
      </c>
      <c r="AC23" s="129">
        <v>681</v>
      </c>
      <c r="AD23" s="127">
        <v>707</v>
      </c>
      <c r="AE23" s="128">
        <v>682</v>
      </c>
      <c r="AF23" s="128">
        <v>707</v>
      </c>
      <c r="AG23" s="128">
        <v>348</v>
      </c>
      <c r="AH23" s="130">
        <v>643</v>
      </c>
      <c r="AI23" s="130">
        <v>567</v>
      </c>
      <c r="AJ23" s="129"/>
      <c r="AK23" s="127"/>
      <c r="AL23" s="128"/>
      <c r="AM23" s="128"/>
      <c r="AN23" s="128">
        <v>608</v>
      </c>
      <c r="AO23" s="130">
        <v>675</v>
      </c>
      <c r="AP23" s="130">
        <v>706</v>
      </c>
      <c r="AQ23" s="129"/>
      <c r="AR23" s="127">
        <v>655</v>
      </c>
      <c r="AS23" s="128">
        <v>695</v>
      </c>
      <c r="AT23" s="128">
        <v>669</v>
      </c>
      <c r="AU23" s="128">
        <v>669</v>
      </c>
      <c r="AV23" s="130">
        <v>616</v>
      </c>
      <c r="AW23" s="129">
        <v>0</v>
      </c>
      <c r="AX23" s="127"/>
      <c r="AY23" s="128"/>
      <c r="AZ23" s="128">
        <v>456</v>
      </c>
      <c r="BA23" s="128">
        <v>642</v>
      </c>
      <c r="BB23" s="130">
        <v>671</v>
      </c>
      <c r="BC23" s="130">
        <v>656</v>
      </c>
      <c r="BD23" s="130"/>
      <c r="BE23" s="129"/>
      <c r="BF23" s="127">
        <v>680</v>
      </c>
      <c r="BG23" s="128">
        <v>709</v>
      </c>
      <c r="BH23" s="128">
        <v>677</v>
      </c>
      <c r="BI23" s="128">
        <v>680</v>
      </c>
      <c r="BJ23" s="130">
        <v>605</v>
      </c>
      <c r="BK23" s="130">
        <v>666</v>
      </c>
      <c r="BL23" s="129"/>
      <c r="BM23" s="127">
        <v>657</v>
      </c>
      <c r="BN23" s="128">
        <v>648</v>
      </c>
      <c r="BO23" s="128">
        <v>693</v>
      </c>
      <c r="BP23" s="128">
        <v>690</v>
      </c>
      <c r="BQ23" s="130">
        <v>0</v>
      </c>
      <c r="BR23" s="130"/>
      <c r="BS23" s="129"/>
      <c r="BT23" s="127">
        <v>588</v>
      </c>
      <c r="BU23" s="128">
        <v>648</v>
      </c>
      <c r="BV23" s="128">
        <v>641</v>
      </c>
      <c r="BW23" s="128">
        <v>693</v>
      </c>
      <c r="BX23" s="130">
        <v>649</v>
      </c>
      <c r="BY23" s="130"/>
      <c r="BZ23" s="130"/>
      <c r="CA23" s="126">
        <v>364</v>
      </c>
      <c r="CB23" s="129">
        <v>407</v>
      </c>
      <c r="CC23" s="126">
        <v>439</v>
      </c>
      <c r="CD23" s="130">
        <v>465</v>
      </c>
      <c r="CE23" s="130">
        <v>425</v>
      </c>
      <c r="CF23" s="130"/>
      <c r="CG23" s="129"/>
      <c r="CH23" s="127"/>
      <c r="CI23" s="130">
        <v>563</v>
      </c>
      <c r="CJ23" s="128">
        <v>580</v>
      </c>
      <c r="CK23" s="128">
        <v>526</v>
      </c>
      <c r="CL23" s="130">
        <v>620</v>
      </c>
      <c r="CM23" s="130"/>
      <c r="CN23" s="129"/>
      <c r="CO23" s="127"/>
      <c r="CP23" s="128"/>
      <c r="CQ23" s="128"/>
      <c r="CR23" s="128">
        <v>418</v>
      </c>
      <c r="CS23" s="130">
        <v>513</v>
      </c>
      <c r="CT23" s="130"/>
      <c r="CU23" s="129"/>
      <c r="CV23" s="127">
        <v>413</v>
      </c>
      <c r="CW23" s="128">
        <v>559</v>
      </c>
      <c r="CX23" s="128">
        <v>564</v>
      </c>
      <c r="CY23" s="128">
        <v>611</v>
      </c>
      <c r="CZ23" s="130">
        <v>591</v>
      </c>
      <c r="DA23" s="130"/>
      <c r="DB23" s="129"/>
      <c r="DC23" s="127"/>
      <c r="DD23" s="128"/>
      <c r="DE23" s="128"/>
      <c r="DF23" s="128"/>
      <c r="DG23" s="71"/>
      <c r="DH23" s="127">
        <f>SUM(D23)</f>
        <v>605</v>
      </c>
      <c r="DI23" s="128">
        <f>SUM(E23:I23)</f>
        <v>2693</v>
      </c>
      <c r="DJ23" s="128">
        <f>SUM(J23:N23)</f>
        <v>2773</v>
      </c>
      <c r="DK23" s="130">
        <f>SUM(O23:S23)</f>
        <v>2131</v>
      </c>
      <c r="DL23" s="129">
        <f>SUM(T23:X23)</f>
        <v>2999</v>
      </c>
      <c r="DM23" s="127">
        <f>SUM(Y23:AC23)</f>
        <v>3029</v>
      </c>
      <c r="DN23" s="128">
        <f>SUM(AD23:AJ23)</f>
        <v>3654</v>
      </c>
      <c r="DO23" s="130">
        <f>SUM(AK23:AQ23)</f>
        <v>1989</v>
      </c>
      <c r="DP23" s="129">
        <f>SUM(AR23:AW23)</f>
        <v>3304</v>
      </c>
      <c r="DQ23" s="127">
        <f>SUM(AX23:BE23)</f>
        <v>2425</v>
      </c>
      <c r="DR23" s="128">
        <f>SUM(BF23:BL23)</f>
        <v>4017</v>
      </c>
      <c r="DS23" s="130">
        <f>SUM(BM23:BS23)</f>
        <v>2688</v>
      </c>
      <c r="DT23" s="130">
        <f>SUM(BT23:BZ23)</f>
        <v>3219</v>
      </c>
      <c r="DU23" s="129">
        <f>SUM(CA23:CB23)</f>
        <v>771</v>
      </c>
      <c r="DV23" s="127">
        <f>SUM(CC23:CG23)</f>
        <v>1329</v>
      </c>
      <c r="DW23" s="128">
        <f>SUM(CH23:CN23)</f>
        <v>2289</v>
      </c>
      <c r="DX23" s="130">
        <f>SUM(CO23:CU23)</f>
        <v>931</v>
      </c>
      <c r="DY23" s="130">
        <f t="shared" ref="DY23:DZ26" si="38">SUM(CV23:DB23)</f>
        <v>2738</v>
      </c>
      <c r="DZ23" s="129">
        <f t="shared" si="38"/>
        <v>2325</v>
      </c>
      <c r="EB23" s="127">
        <f>AVERAGE(D23)</f>
        <v>605</v>
      </c>
      <c r="EC23" s="128">
        <f>AVERAGE(E23:I23)</f>
        <v>538.6</v>
      </c>
      <c r="ED23" s="128">
        <f>AVERAGE(J23:N23)</f>
        <v>554.6</v>
      </c>
      <c r="EE23" s="128">
        <f>AVERAGE(O23:S23)</f>
        <v>426.2</v>
      </c>
      <c r="EF23" s="129">
        <f>AVERAGE(T23:X23)</f>
        <v>599.79999999999995</v>
      </c>
      <c r="EG23" s="127">
        <f>AVERAGE(Y23:AC23)</f>
        <v>605.79999999999995</v>
      </c>
      <c r="EH23" s="128">
        <f>AVERAGE(AD23:AJ23)</f>
        <v>609</v>
      </c>
      <c r="EI23" s="128">
        <f>AVERAGE(AK23:AQ23)</f>
        <v>663</v>
      </c>
      <c r="EJ23" s="129">
        <f>AVERAGE(AR23:AW23)</f>
        <v>550.66666666666663</v>
      </c>
      <c r="EK23" s="127">
        <f>AVERAGE(AX23:BE23)</f>
        <v>606.25</v>
      </c>
      <c r="EL23" s="128">
        <f>AVERAGE(BF23:BL23)</f>
        <v>669.5</v>
      </c>
      <c r="EM23" s="128">
        <f>AVERAGE(BM23:BS23)</f>
        <v>537.6</v>
      </c>
      <c r="EN23" s="128">
        <f>AVERAGE(BT23:BZ23)</f>
        <v>643.79999999999995</v>
      </c>
      <c r="EO23" s="129">
        <f>AVERAGE(CA23:CB23)</f>
        <v>385.5</v>
      </c>
      <c r="EP23" s="127">
        <f>AVERAGE(CC23:CG23)</f>
        <v>443</v>
      </c>
      <c r="EQ23" s="128">
        <f>AVERAGE(CH23:CN23)</f>
        <v>572.25</v>
      </c>
      <c r="ER23" s="128">
        <f>AVERAGE(CO23:CU23)</f>
        <v>465.5</v>
      </c>
      <c r="ES23" s="128"/>
      <c r="ET23" s="129"/>
      <c r="EV23" s="131">
        <f>SUM(DH23:DL23)</f>
        <v>11201</v>
      </c>
      <c r="EW23" s="131">
        <f>SUM(DM23:DP23)</f>
        <v>11976</v>
      </c>
      <c r="EX23" s="131">
        <f>SUM(DQ23:DU23)</f>
        <v>13120</v>
      </c>
      <c r="EY23" s="132">
        <f>SUM(DV23:DZ23)</f>
        <v>9612</v>
      </c>
      <c r="FA23" s="131">
        <f>AVERAGE(EB23:EF23)</f>
        <v>544.83999999999992</v>
      </c>
      <c r="FB23" s="131">
        <f>AVERAGE(EG23:EJ23)</f>
        <v>607.11666666666667</v>
      </c>
      <c r="FC23" s="131">
        <f>AVERAGE(EK23:EO23)</f>
        <v>568.53</v>
      </c>
      <c r="FD23" s="132">
        <f>AVERAGE(EP23:ET23)</f>
        <v>493.58333333333331</v>
      </c>
    </row>
    <row r="24" spans="2:160">
      <c r="B24" s="230"/>
      <c r="C24" s="96" t="s">
        <v>133</v>
      </c>
      <c r="D24" s="97">
        <v>585</v>
      </c>
      <c r="E24" s="98">
        <v>345</v>
      </c>
      <c r="F24" s="99">
        <v>585</v>
      </c>
      <c r="G24" s="99">
        <v>465</v>
      </c>
      <c r="H24" s="99">
        <v>600</v>
      </c>
      <c r="I24" s="100">
        <v>645</v>
      </c>
      <c r="J24" s="98">
        <v>570</v>
      </c>
      <c r="K24" s="99">
        <v>615</v>
      </c>
      <c r="L24" s="99">
        <v>675</v>
      </c>
      <c r="M24" s="99">
        <v>660</v>
      </c>
      <c r="N24" s="100">
        <v>210</v>
      </c>
      <c r="O24" s="98">
        <v>510</v>
      </c>
      <c r="P24" s="99">
        <v>465</v>
      </c>
      <c r="Q24" s="99">
        <v>240</v>
      </c>
      <c r="R24" s="99">
        <v>510</v>
      </c>
      <c r="S24" s="100">
        <v>360</v>
      </c>
      <c r="T24" s="98">
        <v>675</v>
      </c>
      <c r="U24" s="99">
        <v>660</v>
      </c>
      <c r="V24" s="99">
        <v>675</v>
      </c>
      <c r="W24" s="99">
        <v>630</v>
      </c>
      <c r="X24" s="100">
        <v>315</v>
      </c>
      <c r="Y24" s="98">
        <v>300</v>
      </c>
      <c r="Z24" s="99">
        <v>675</v>
      </c>
      <c r="AA24" s="99">
        <v>690</v>
      </c>
      <c r="AB24" s="99">
        <v>660</v>
      </c>
      <c r="AC24" s="100">
        <v>675</v>
      </c>
      <c r="AD24" s="98">
        <v>705</v>
      </c>
      <c r="AE24" s="99">
        <v>675</v>
      </c>
      <c r="AF24" s="99">
        <v>705</v>
      </c>
      <c r="AG24" s="99">
        <v>345</v>
      </c>
      <c r="AH24" s="101">
        <v>615</v>
      </c>
      <c r="AI24" s="101">
        <v>555</v>
      </c>
      <c r="AJ24" s="100"/>
      <c r="AK24" s="98"/>
      <c r="AL24" s="99"/>
      <c r="AM24" s="99"/>
      <c r="AN24" s="99">
        <v>600</v>
      </c>
      <c r="AO24" s="101">
        <v>660</v>
      </c>
      <c r="AP24" s="101">
        <v>705</v>
      </c>
      <c r="AQ24" s="100"/>
      <c r="AR24" s="98">
        <v>630</v>
      </c>
      <c r="AS24" s="99">
        <v>690</v>
      </c>
      <c r="AT24" s="99">
        <v>660</v>
      </c>
      <c r="AU24" s="99">
        <v>660</v>
      </c>
      <c r="AV24" s="101">
        <v>615</v>
      </c>
      <c r="AW24" s="100">
        <v>0</v>
      </c>
      <c r="AX24" s="98"/>
      <c r="AY24" s="99"/>
      <c r="AZ24" s="99">
        <v>450</v>
      </c>
      <c r="BA24" s="99">
        <v>615</v>
      </c>
      <c r="BB24" s="101">
        <v>630</v>
      </c>
      <c r="BC24" s="101">
        <v>645</v>
      </c>
      <c r="BD24" s="101"/>
      <c r="BE24" s="100"/>
      <c r="BF24" s="98">
        <v>675</v>
      </c>
      <c r="BG24" s="99">
        <v>705</v>
      </c>
      <c r="BH24" s="99">
        <v>675</v>
      </c>
      <c r="BI24" s="99">
        <v>675</v>
      </c>
      <c r="BJ24" s="101">
        <v>600</v>
      </c>
      <c r="BK24" s="101">
        <v>660</v>
      </c>
      <c r="BL24" s="100"/>
      <c r="BM24" s="98">
        <v>645</v>
      </c>
      <c r="BN24" s="99">
        <v>645</v>
      </c>
      <c r="BO24" s="99">
        <v>690</v>
      </c>
      <c r="BP24" s="99">
        <v>690</v>
      </c>
      <c r="BQ24" s="101">
        <v>0</v>
      </c>
      <c r="BR24" s="101"/>
      <c r="BS24" s="100"/>
      <c r="BT24" s="98">
        <v>585</v>
      </c>
      <c r="BU24" s="99">
        <v>630</v>
      </c>
      <c r="BV24" s="99">
        <v>630</v>
      </c>
      <c r="BW24" s="99">
        <v>675</v>
      </c>
      <c r="BX24" s="101">
        <v>540</v>
      </c>
      <c r="BY24" s="101"/>
      <c r="BZ24" s="101"/>
      <c r="CA24" s="97">
        <v>360</v>
      </c>
      <c r="CB24" s="100">
        <v>360</v>
      </c>
      <c r="CC24" s="97">
        <v>405</v>
      </c>
      <c r="CD24" s="101">
        <v>450</v>
      </c>
      <c r="CE24" s="101">
        <v>390</v>
      </c>
      <c r="CF24" s="101"/>
      <c r="CG24" s="100"/>
      <c r="CH24" s="98"/>
      <c r="CI24" s="101">
        <v>555</v>
      </c>
      <c r="CJ24" s="99">
        <v>570</v>
      </c>
      <c r="CK24" s="99">
        <v>510</v>
      </c>
      <c r="CL24" s="101">
        <v>615</v>
      </c>
      <c r="CM24" s="101"/>
      <c r="CN24" s="100"/>
      <c r="CO24" s="98"/>
      <c r="CP24" s="99"/>
      <c r="CQ24" s="99"/>
      <c r="CR24" s="99">
        <v>405</v>
      </c>
      <c r="CS24" s="101">
        <v>495</v>
      </c>
      <c r="CT24" s="101"/>
      <c r="CU24" s="100"/>
      <c r="CV24" s="98">
        <v>390</v>
      </c>
      <c r="CW24" s="99">
        <v>540</v>
      </c>
      <c r="CX24" s="99">
        <v>540</v>
      </c>
      <c r="CY24" s="99">
        <v>600</v>
      </c>
      <c r="CZ24" s="101">
        <v>585</v>
      </c>
      <c r="DA24" s="101"/>
      <c r="DB24" s="100"/>
      <c r="DC24" s="98"/>
      <c r="DD24" s="99"/>
      <c r="DE24" s="99"/>
      <c r="DF24" s="99"/>
      <c r="DG24" s="71"/>
      <c r="DH24" s="98">
        <f>SUM(D24)</f>
        <v>585</v>
      </c>
      <c r="DI24" s="99">
        <f>SUM(E24:I24)</f>
        <v>2640</v>
      </c>
      <c r="DJ24" s="99">
        <f>SUM(J24:N24)</f>
        <v>2730</v>
      </c>
      <c r="DK24" s="101">
        <f>SUM(O24:S24)</f>
        <v>2085</v>
      </c>
      <c r="DL24" s="100">
        <f>SUM(T24:X24)</f>
        <v>2955</v>
      </c>
      <c r="DM24" s="98">
        <f>SUM(Y24:AC24)</f>
        <v>3000</v>
      </c>
      <c r="DN24" s="99">
        <f>SUM(AD24:AJ24)</f>
        <v>3600</v>
      </c>
      <c r="DO24" s="101">
        <f>SUM(AK24:AQ24)</f>
        <v>1965</v>
      </c>
      <c r="DP24" s="100">
        <f>SUM(AR24:AW24)</f>
        <v>3255</v>
      </c>
      <c r="DQ24" s="98">
        <f>SUM(AX24:BE24)</f>
        <v>2340</v>
      </c>
      <c r="DR24" s="99">
        <f>SUM(BF24:BL24)</f>
        <v>3990</v>
      </c>
      <c r="DS24" s="101">
        <f>SUM(BM24:BS24)</f>
        <v>2670</v>
      </c>
      <c r="DT24" s="101">
        <f>SUM(BT24:BZ24)</f>
        <v>3060</v>
      </c>
      <c r="DU24" s="100">
        <f>SUM(CA24:CB24)</f>
        <v>720</v>
      </c>
      <c r="DV24" s="98">
        <f>SUM(CC24:CG24)</f>
        <v>1245</v>
      </c>
      <c r="DW24" s="99">
        <f>SUM(CH24:CN24)</f>
        <v>2250</v>
      </c>
      <c r="DX24" s="101">
        <f>SUM(CO24:CU24)</f>
        <v>900</v>
      </c>
      <c r="DY24" s="101">
        <f t="shared" si="38"/>
        <v>2655</v>
      </c>
      <c r="DZ24" s="100">
        <f t="shared" si="38"/>
        <v>2265</v>
      </c>
      <c r="EB24" s="98">
        <f>AVERAGE(D24)</f>
        <v>585</v>
      </c>
      <c r="EC24" s="99">
        <f>AVERAGE(E24:I24)</f>
        <v>528</v>
      </c>
      <c r="ED24" s="99">
        <f>AVERAGE(J24:N24)</f>
        <v>546</v>
      </c>
      <c r="EE24" s="101">
        <f>AVERAGE(O24:S24)</f>
        <v>417</v>
      </c>
      <c r="EF24" s="100">
        <f>AVERAGE(T24:X24)</f>
        <v>591</v>
      </c>
      <c r="EG24" s="98">
        <f>AVERAGE(Y24:AC24)</f>
        <v>600</v>
      </c>
      <c r="EH24" s="99">
        <f>AVERAGE(AD24:AJ24)</f>
        <v>600</v>
      </c>
      <c r="EI24" s="101">
        <f>AVERAGE(AK24:AQ24)</f>
        <v>655</v>
      </c>
      <c r="EJ24" s="100">
        <f>AVERAGE(AR24:AW24)</f>
        <v>542.5</v>
      </c>
      <c r="EK24" s="98">
        <f>AVERAGE(AX24:BE24)</f>
        <v>585</v>
      </c>
      <c r="EL24" s="99">
        <f>AVERAGE(BF24:BL24)</f>
        <v>665</v>
      </c>
      <c r="EM24" s="101">
        <f>AVERAGE(BM24:BS24)</f>
        <v>534</v>
      </c>
      <c r="EN24" s="101">
        <f>AVERAGE(BT24:BZ24)</f>
        <v>612</v>
      </c>
      <c r="EO24" s="100">
        <f>AVERAGE(CA24:CB24)</f>
        <v>360</v>
      </c>
      <c r="EP24" s="98">
        <f>AVERAGE(CC24:CG24)</f>
        <v>415</v>
      </c>
      <c r="EQ24" s="99">
        <f>AVERAGE(CH24:CN24)</f>
        <v>562.5</v>
      </c>
      <c r="ER24" s="101">
        <f>AVERAGE(CO24:CU24)</f>
        <v>450</v>
      </c>
      <c r="ES24" s="101"/>
      <c r="ET24" s="100"/>
      <c r="EV24" s="102">
        <f>SUM(DH24:DL24)</f>
        <v>10995</v>
      </c>
      <c r="EW24" s="102">
        <f>SUM(DM24:DP24)</f>
        <v>11820</v>
      </c>
      <c r="EX24" s="102">
        <f>SUM(DQ24:DU24)</f>
        <v>12780</v>
      </c>
      <c r="EY24" s="103">
        <f>SUM(DV24:DZ24)</f>
        <v>9315</v>
      </c>
      <c r="FA24" s="102">
        <f>AVERAGE(EB24:EF24)</f>
        <v>533.4</v>
      </c>
      <c r="FB24" s="102">
        <f>AVERAGE(EG24:EJ24)</f>
        <v>599.375</v>
      </c>
      <c r="FC24" s="102">
        <f>AVERAGE(EK24:EO24)</f>
        <v>551.20000000000005</v>
      </c>
      <c r="FD24" s="103">
        <f>AVERAGE(EP24:ET24)</f>
        <v>475.83333333333331</v>
      </c>
    </row>
    <row r="25" spans="2:160">
      <c r="B25" s="230"/>
      <c r="C25" s="96" t="s">
        <v>134</v>
      </c>
      <c r="D25" s="97">
        <v>41</v>
      </c>
      <c r="E25" s="98">
        <v>28</v>
      </c>
      <c r="F25" s="99">
        <v>24</v>
      </c>
      <c r="G25" s="99">
        <v>24</v>
      </c>
      <c r="H25" s="99">
        <v>16</v>
      </c>
      <c r="I25" s="100">
        <v>47</v>
      </c>
      <c r="J25" s="98">
        <v>32</v>
      </c>
      <c r="K25" s="99">
        <v>24</v>
      </c>
      <c r="L25" s="99">
        <v>16</v>
      </c>
      <c r="M25" s="99">
        <v>17</v>
      </c>
      <c r="N25" s="100">
        <v>10</v>
      </c>
      <c r="O25" s="98">
        <v>66</v>
      </c>
      <c r="P25" s="99">
        <v>35</v>
      </c>
      <c r="Q25" s="99">
        <v>24</v>
      </c>
      <c r="R25" s="99">
        <v>40</v>
      </c>
      <c r="S25" s="100">
        <v>11</v>
      </c>
      <c r="T25" s="98">
        <v>26</v>
      </c>
      <c r="U25" s="99">
        <v>25</v>
      </c>
      <c r="V25" s="99">
        <v>14</v>
      </c>
      <c r="W25" s="99">
        <v>26</v>
      </c>
      <c r="X25" s="100">
        <v>7</v>
      </c>
      <c r="Y25" s="98">
        <v>4</v>
      </c>
      <c r="Z25" s="99">
        <v>16</v>
      </c>
      <c r="AA25" s="99">
        <v>6</v>
      </c>
      <c r="AB25" s="99">
        <v>23</v>
      </c>
      <c r="AC25" s="100">
        <v>14</v>
      </c>
      <c r="AD25" s="98">
        <v>8</v>
      </c>
      <c r="AE25" s="99">
        <v>11</v>
      </c>
      <c r="AF25" s="99">
        <v>16</v>
      </c>
      <c r="AG25" s="99">
        <v>15</v>
      </c>
      <c r="AH25" s="101">
        <v>31</v>
      </c>
      <c r="AI25" s="101">
        <v>14</v>
      </c>
      <c r="AJ25" s="100"/>
      <c r="AK25" s="98"/>
      <c r="AL25" s="99"/>
      <c r="AM25" s="99"/>
      <c r="AN25" s="99">
        <v>24</v>
      </c>
      <c r="AO25" s="101">
        <v>22</v>
      </c>
      <c r="AP25" s="101">
        <v>10</v>
      </c>
      <c r="AQ25" s="100"/>
      <c r="AR25" s="98">
        <v>28</v>
      </c>
      <c r="AS25" s="99">
        <v>19</v>
      </c>
      <c r="AT25" s="99">
        <v>21</v>
      </c>
      <c r="AU25" s="99">
        <v>12</v>
      </c>
      <c r="AV25" s="101">
        <v>8</v>
      </c>
      <c r="AW25" s="100">
        <v>0</v>
      </c>
      <c r="AX25" s="98"/>
      <c r="AY25" s="99"/>
      <c r="AZ25" s="99">
        <v>14</v>
      </c>
      <c r="BA25" s="99">
        <v>69</v>
      </c>
      <c r="BB25" s="101">
        <v>46</v>
      </c>
      <c r="BC25" s="101">
        <v>18</v>
      </c>
      <c r="BD25" s="101"/>
      <c r="BE25" s="100"/>
      <c r="BF25" s="98">
        <v>19</v>
      </c>
      <c r="BG25" s="99">
        <v>11</v>
      </c>
      <c r="BH25" s="99">
        <v>8</v>
      </c>
      <c r="BI25" s="99">
        <v>12</v>
      </c>
      <c r="BJ25" s="101">
        <v>17</v>
      </c>
      <c r="BK25" s="101">
        <v>17</v>
      </c>
      <c r="BL25" s="100"/>
      <c r="BM25" s="98">
        <v>23</v>
      </c>
      <c r="BN25" s="99">
        <v>17</v>
      </c>
      <c r="BO25" s="99">
        <v>8</v>
      </c>
      <c r="BP25" s="99">
        <v>5</v>
      </c>
      <c r="BQ25" s="101">
        <v>0</v>
      </c>
      <c r="BR25" s="101"/>
      <c r="BS25" s="100"/>
      <c r="BT25" s="98">
        <v>15</v>
      </c>
      <c r="BU25" s="99">
        <v>35</v>
      </c>
      <c r="BV25" s="99">
        <v>58</v>
      </c>
      <c r="BW25" s="99">
        <v>29</v>
      </c>
      <c r="BX25" s="101">
        <v>137</v>
      </c>
      <c r="BY25" s="101"/>
      <c r="BZ25" s="101"/>
      <c r="CA25" s="97">
        <v>4</v>
      </c>
      <c r="CB25" s="100">
        <v>47</v>
      </c>
      <c r="CC25" s="97">
        <v>82</v>
      </c>
      <c r="CD25" s="101">
        <v>15</v>
      </c>
      <c r="CE25" s="101">
        <v>35</v>
      </c>
      <c r="CF25" s="101"/>
      <c r="CG25" s="100"/>
      <c r="CH25" s="98"/>
      <c r="CI25" s="101">
        <v>23</v>
      </c>
      <c r="CJ25" s="99">
        <v>10</v>
      </c>
      <c r="CK25" s="99">
        <v>16</v>
      </c>
      <c r="CL25" s="101">
        <v>5</v>
      </c>
      <c r="CM25" s="101"/>
      <c r="CN25" s="100"/>
      <c r="CO25" s="98"/>
      <c r="CP25" s="99"/>
      <c r="CQ25" s="99"/>
      <c r="CR25" s="99">
        <v>48</v>
      </c>
      <c r="CS25" s="101">
        <v>63</v>
      </c>
      <c r="CT25" s="101"/>
      <c r="CU25" s="100"/>
      <c r="CV25" s="98">
        <v>23</v>
      </c>
      <c r="CW25" s="99">
        <v>51</v>
      </c>
      <c r="CX25" s="99">
        <v>49</v>
      </c>
      <c r="CY25" s="99">
        <v>26</v>
      </c>
      <c r="CZ25" s="101">
        <v>18</v>
      </c>
      <c r="DA25" s="101"/>
      <c r="DB25" s="100"/>
      <c r="DC25" s="98"/>
      <c r="DD25" s="99"/>
      <c r="DE25" s="99"/>
      <c r="DF25" s="99"/>
      <c r="DG25" s="71"/>
      <c r="DH25" s="98">
        <f>SUM(D25)</f>
        <v>41</v>
      </c>
      <c r="DI25" s="99">
        <f>SUM(E25:I25)</f>
        <v>139</v>
      </c>
      <c r="DJ25" s="99">
        <f>SUM(J25:N25)</f>
        <v>99</v>
      </c>
      <c r="DK25" s="101">
        <f>SUM(O25:S25)</f>
        <v>176</v>
      </c>
      <c r="DL25" s="100">
        <f>SUM(T25:X25)</f>
        <v>98</v>
      </c>
      <c r="DM25" s="98">
        <f>SUM(Y25:AC25)</f>
        <v>63</v>
      </c>
      <c r="DN25" s="99">
        <f>SUM(AD25:AJ25)</f>
        <v>95</v>
      </c>
      <c r="DO25" s="101">
        <f>SUM(AK25:AQ25)</f>
        <v>56</v>
      </c>
      <c r="DP25" s="100">
        <f>SUM(AR25:AW25)</f>
        <v>88</v>
      </c>
      <c r="DQ25" s="98">
        <f>SUM(AX25:BE25)</f>
        <v>147</v>
      </c>
      <c r="DR25" s="99">
        <f>SUM(BF25:BL25)</f>
        <v>84</v>
      </c>
      <c r="DS25" s="101">
        <f>SUM(BM25:BS25)</f>
        <v>53</v>
      </c>
      <c r="DT25" s="101">
        <f>SUM(BT25:BZ25)</f>
        <v>274</v>
      </c>
      <c r="DU25" s="100">
        <f>SUM(CA25:CB25)</f>
        <v>51</v>
      </c>
      <c r="DV25" s="98">
        <f>SUM(CC25:CG25)</f>
        <v>132</v>
      </c>
      <c r="DW25" s="99">
        <f>SUM(CH25:CN25)</f>
        <v>54</v>
      </c>
      <c r="DX25" s="101">
        <f>SUM(CO25:CU25)</f>
        <v>111</v>
      </c>
      <c r="DY25" s="101">
        <f t="shared" si="38"/>
        <v>167</v>
      </c>
      <c r="DZ25" s="100">
        <f t="shared" si="38"/>
        <v>144</v>
      </c>
      <c r="EB25" s="98">
        <f>AVERAGE(D25)</f>
        <v>41</v>
      </c>
      <c r="EC25" s="99">
        <f>AVERAGE(E25:I25)</f>
        <v>27.8</v>
      </c>
      <c r="ED25" s="99">
        <f>AVERAGE(J25:N25)</f>
        <v>19.8</v>
      </c>
      <c r="EE25" s="101">
        <f>AVERAGE(O25:S25)</f>
        <v>35.200000000000003</v>
      </c>
      <c r="EF25" s="100">
        <f>AVERAGE(T25:X25)</f>
        <v>19.600000000000001</v>
      </c>
      <c r="EG25" s="98">
        <f>AVERAGE(Y25:AC25)</f>
        <v>12.6</v>
      </c>
      <c r="EH25" s="99">
        <f>AVERAGE(AD25:AJ25)</f>
        <v>15.833333333333334</v>
      </c>
      <c r="EI25" s="101">
        <f>AVERAGE(AK25:AQ25)</f>
        <v>18.666666666666668</v>
      </c>
      <c r="EJ25" s="100">
        <f>AVERAGE(AR25:AW25)</f>
        <v>14.666666666666666</v>
      </c>
      <c r="EK25" s="98">
        <f>AVERAGE(AX25:BE25)</f>
        <v>36.75</v>
      </c>
      <c r="EL25" s="99">
        <f>AVERAGE(BF25:BL25)</f>
        <v>14</v>
      </c>
      <c r="EM25" s="101">
        <f>AVERAGE(BM25:BS25)</f>
        <v>10.6</v>
      </c>
      <c r="EN25" s="101">
        <f>AVERAGE(BT25:BZ25)</f>
        <v>54.8</v>
      </c>
      <c r="EO25" s="100">
        <f>AVERAGE(CA25:CB25)</f>
        <v>25.5</v>
      </c>
      <c r="EP25" s="98">
        <f>AVERAGE(CC25:CG25)</f>
        <v>44</v>
      </c>
      <c r="EQ25" s="99">
        <f>AVERAGE(CH25:CN25)</f>
        <v>13.5</v>
      </c>
      <c r="ER25" s="101">
        <f>AVERAGE(CO25:CU25)</f>
        <v>55.5</v>
      </c>
      <c r="ES25" s="101"/>
      <c r="ET25" s="100"/>
      <c r="EV25" s="102">
        <f>SUM(DH25:DL25)</f>
        <v>553</v>
      </c>
      <c r="EW25" s="102">
        <f>SUM(DM25:DP25)</f>
        <v>302</v>
      </c>
      <c r="EX25" s="102">
        <f>SUM(DQ25:DU25)</f>
        <v>609</v>
      </c>
      <c r="EY25" s="103">
        <f>SUM(DV25:DZ25)</f>
        <v>608</v>
      </c>
      <c r="FA25" s="102">
        <f>AVERAGE(EB25:EF25)</f>
        <v>28.68</v>
      </c>
      <c r="FB25" s="102">
        <f>AVERAGE(EG25:EJ25)</f>
        <v>15.441666666666666</v>
      </c>
      <c r="FC25" s="102">
        <f>AVERAGE(EK25:EO25)</f>
        <v>28.330000000000002</v>
      </c>
      <c r="FD25" s="103">
        <f>AVERAGE(EP25:ET25)</f>
        <v>37.666666666666664</v>
      </c>
    </row>
    <row r="26" spans="2:160">
      <c r="B26" s="230"/>
      <c r="C26" s="96" t="s">
        <v>135</v>
      </c>
      <c r="D26" s="97">
        <v>20</v>
      </c>
      <c r="E26" s="98">
        <v>21</v>
      </c>
      <c r="F26" s="99">
        <v>5</v>
      </c>
      <c r="G26" s="99">
        <v>9</v>
      </c>
      <c r="H26" s="99">
        <v>6</v>
      </c>
      <c r="I26" s="100">
        <v>12</v>
      </c>
      <c r="J26" s="98">
        <v>13</v>
      </c>
      <c r="K26" s="99">
        <v>13</v>
      </c>
      <c r="L26" s="99">
        <v>6</v>
      </c>
      <c r="M26" s="99">
        <v>7</v>
      </c>
      <c r="N26" s="100">
        <v>4</v>
      </c>
      <c r="O26" s="98">
        <v>20</v>
      </c>
      <c r="P26" s="99">
        <v>8</v>
      </c>
      <c r="Q26" s="99">
        <v>5</v>
      </c>
      <c r="R26" s="99">
        <v>5</v>
      </c>
      <c r="S26" s="100">
        <v>8</v>
      </c>
      <c r="T26" s="98">
        <v>9</v>
      </c>
      <c r="U26" s="99">
        <v>9</v>
      </c>
      <c r="V26" s="99">
        <v>10</v>
      </c>
      <c r="W26" s="99">
        <v>12</v>
      </c>
      <c r="X26" s="100">
        <v>4</v>
      </c>
      <c r="Y26" s="98">
        <v>0</v>
      </c>
      <c r="Z26" s="99">
        <v>3</v>
      </c>
      <c r="AA26" s="99">
        <v>2</v>
      </c>
      <c r="AB26" s="99">
        <v>18</v>
      </c>
      <c r="AC26" s="100">
        <v>6</v>
      </c>
      <c r="AD26" s="98">
        <v>2</v>
      </c>
      <c r="AE26" s="99">
        <v>7</v>
      </c>
      <c r="AF26" s="99">
        <v>2</v>
      </c>
      <c r="AG26" s="99">
        <v>3</v>
      </c>
      <c r="AH26" s="101">
        <v>28</v>
      </c>
      <c r="AI26" s="101">
        <v>12</v>
      </c>
      <c r="AJ26" s="100"/>
      <c r="AK26" s="98"/>
      <c r="AL26" s="99"/>
      <c r="AM26" s="99"/>
      <c r="AN26" s="99">
        <v>8</v>
      </c>
      <c r="AO26" s="101">
        <v>15</v>
      </c>
      <c r="AP26" s="101">
        <v>1</v>
      </c>
      <c r="AQ26" s="100"/>
      <c r="AR26" s="98">
        <v>25</v>
      </c>
      <c r="AS26" s="99">
        <v>5</v>
      </c>
      <c r="AT26" s="99">
        <v>9</v>
      </c>
      <c r="AU26" s="99">
        <v>9</v>
      </c>
      <c r="AV26" s="101">
        <v>1</v>
      </c>
      <c r="AW26" s="100">
        <v>0</v>
      </c>
      <c r="AX26" s="98"/>
      <c r="AY26" s="99"/>
      <c r="AZ26" s="99">
        <v>6</v>
      </c>
      <c r="BA26" s="99">
        <v>27</v>
      </c>
      <c r="BB26" s="101">
        <v>41</v>
      </c>
      <c r="BC26" s="101">
        <v>11</v>
      </c>
      <c r="BD26" s="101"/>
      <c r="BE26" s="100"/>
      <c r="BF26" s="98">
        <v>5</v>
      </c>
      <c r="BG26" s="99">
        <v>4</v>
      </c>
      <c r="BH26" s="99">
        <v>2</v>
      </c>
      <c r="BI26" s="99">
        <v>5</v>
      </c>
      <c r="BJ26" s="101">
        <v>5</v>
      </c>
      <c r="BK26" s="101">
        <v>6</v>
      </c>
      <c r="BL26" s="100"/>
      <c r="BM26" s="98">
        <v>12</v>
      </c>
      <c r="BN26" s="99">
        <v>3</v>
      </c>
      <c r="BO26" s="99">
        <v>3</v>
      </c>
      <c r="BP26" s="99">
        <v>0</v>
      </c>
      <c r="BQ26" s="101">
        <v>0</v>
      </c>
      <c r="BR26" s="101"/>
      <c r="BS26" s="100"/>
      <c r="BT26" s="98">
        <v>3</v>
      </c>
      <c r="BU26" s="99">
        <v>18</v>
      </c>
      <c r="BV26" s="99">
        <v>11</v>
      </c>
      <c r="BW26" s="99">
        <v>18</v>
      </c>
      <c r="BX26" s="101">
        <v>109</v>
      </c>
      <c r="BY26" s="101"/>
      <c r="BZ26" s="101"/>
      <c r="CA26" s="97">
        <v>4</v>
      </c>
      <c r="CB26" s="100">
        <v>47</v>
      </c>
      <c r="CC26" s="97">
        <v>34</v>
      </c>
      <c r="CD26" s="101">
        <v>15</v>
      </c>
      <c r="CE26" s="101">
        <v>35</v>
      </c>
      <c r="CF26" s="101"/>
      <c r="CG26" s="100"/>
      <c r="CH26" s="98"/>
      <c r="CI26" s="101">
        <v>8</v>
      </c>
      <c r="CJ26" s="99">
        <v>10</v>
      </c>
      <c r="CK26" s="99">
        <v>16</v>
      </c>
      <c r="CL26" s="101">
        <v>5</v>
      </c>
      <c r="CM26" s="101"/>
      <c r="CN26" s="100"/>
      <c r="CO26" s="98"/>
      <c r="CP26" s="99"/>
      <c r="CQ26" s="99"/>
      <c r="CR26" s="99">
        <v>13</v>
      </c>
      <c r="CS26" s="101">
        <v>18</v>
      </c>
      <c r="CT26" s="101"/>
      <c r="CU26" s="100"/>
      <c r="CV26" s="98">
        <v>23</v>
      </c>
      <c r="CW26" s="99">
        <v>19</v>
      </c>
      <c r="CX26" s="99">
        <v>24</v>
      </c>
      <c r="CY26" s="99">
        <v>11</v>
      </c>
      <c r="CZ26" s="101">
        <v>6</v>
      </c>
      <c r="DA26" s="101"/>
      <c r="DB26" s="100"/>
      <c r="DC26" s="98"/>
      <c r="DD26" s="99"/>
      <c r="DE26" s="99"/>
      <c r="DF26" s="99"/>
      <c r="DG26" s="71"/>
      <c r="DH26" s="98">
        <f>SUM(D26)</f>
        <v>20</v>
      </c>
      <c r="DI26" s="99">
        <f>SUM(E26:I26)</f>
        <v>53</v>
      </c>
      <c r="DJ26" s="99">
        <f>SUM(J26:N26)</f>
        <v>43</v>
      </c>
      <c r="DK26" s="101">
        <f>SUM(O26:S26)</f>
        <v>46</v>
      </c>
      <c r="DL26" s="100">
        <f>SUM(T26:X26)</f>
        <v>44</v>
      </c>
      <c r="DM26" s="98">
        <f>SUM(Y26:AC26)</f>
        <v>29</v>
      </c>
      <c r="DN26" s="99">
        <f>SUM(AD26:AJ26)</f>
        <v>54</v>
      </c>
      <c r="DO26" s="101">
        <f>SUM(AK26:AQ26)</f>
        <v>24</v>
      </c>
      <c r="DP26" s="100">
        <f>SUM(AR26:AW26)</f>
        <v>49</v>
      </c>
      <c r="DQ26" s="98">
        <f>SUM(AX26:BE26)</f>
        <v>85</v>
      </c>
      <c r="DR26" s="99">
        <f>SUM(BF26:BL26)</f>
        <v>27</v>
      </c>
      <c r="DS26" s="101">
        <f>SUM(BM26:BS26)</f>
        <v>18</v>
      </c>
      <c r="DT26" s="101">
        <f>SUM(BT26:BZ26)</f>
        <v>159</v>
      </c>
      <c r="DU26" s="100">
        <f>SUM(CA26:CB26)</f>
        <v>51</v>
      </c>
      <c r="DV26" s="98">
        <f>SUM(CC26:CG26)</f>
        <v>84</v>
      </c>
      <c r="DW26" s="99">
        <f>SUM(CH26:CN26)</f>
        <v>39</v>
      </c>
      <c r="DX26" s="101">
        <f>SUM(CO26:CU26)</f>
        <v>31</v>
      </c>
      <c r="DY26" s="101">
        <f t="shared" si="38"/>
        <v>83</v>
      </c>
      <c r="DZ26" s="100">
        <f t="shared" si="38"/>
        <v>60</v>
      </c>
      <c r="EB26" s="98">
        <f>AVERAGE(D26)</f>
        <v>20</v>
      </c>
      <c r="EC26" s="99">
        <f>AVERAGE(E26:I26)</f>
        <v>10.6</v>
      </c>
      <c r="ED26" s="99">
        <f>AVERAGE(J26:N26)</f>
        <v>8.6</v>
      </c>
      <c r="EE26" s="101">
        <f>AVERAGE(O26:S26)</f>
        <v>9.1999999999999993</v>
      </c>
      <c r="EF26" s="100">
        <f>AVERAGE(T26:X26)</f>
        <v>8.8000000000000007</v>
      </c>
      <c r="EG26" s="98">
        <f>AVERAGE(Y26:AC26)</f>
        <v>5.8</v>
      </c>
      <c r="EH26" s="99">
        <f>AVERAGE(AD26:AJ26)</f>
        <v>9</v>
      </c>
      <c r="EI26" s="101">
        <f>AVERAGE(AK26:AQ26)</f>
        <v>8</v>
      </c>
      <c r="EJ26" s="100">
        <f>AVERAGE(AR26:AW26)</f>
        <v>8.1666666666666661</v>
      </c>
      <c r="EK26" s="98">
        <f>AVERAGE(AX26:BE26)</f>
        <v>21.25</v>
      </c>
      <c r="EL26" s="99">
        <f>AVERAGE(BF26:BL26)</f>
        <v>4.5</v>
      </c>
      <c r="EM26" s="101">
        <f>AVERAGE(BM26:BS26)</f>
        <v>3.6</v>
      </c>
      <c r="EN26" s="101">
        <f>AVERAGE(BT26:BZ26)</f>
        <v>31.8</v>
      </c>
      <c r="EO26" s="100">
        <f>AVERAGE(CA26:CB26)</f>
        <v>25.5</v>
      </c>
      <c r="EP26" s="98">
        <f>AVERAGE(CC26:CG26)</f>
        <v>28</v>
      </c>
      <c r="EQ26" s="99">
        <f>AVERAGE(CH26:CN26)</f>
        <v>9.75</v>
      </c>
      <c r="ER26" s="101">
        <f>AVERAGE(CO26:CU26)</f>
        <v>15.5</v>
      </c>
      <c r="ES26" s="101"/>
      <c r="ET26" s="100"/>
      <c r="EV26" s="102">
        <f>SUM(DH26:DL26)</f>
        <v>206</v>
      </c>
      <c r="EW26" s="102">
        <f>SUM(DM26:DP26)</f>
        <v>156</v>
      </c>
      <c r="EX26" s="102">
        <f>SUM(DQ26:DU26)</f>
        <v>340</v>
      </c>
      <c r="EY26" s="103">
        <f>SUM(DV26:DZ26)</f>
        <v>297</v>
      </c>
      <c r="FA26" s="102">
        <f>AVERAGE(EB26:EF26)</f>
        <v>11.440000000000001</v>
      </c>
      <c r="FB26" s="102">
        <f>AVERAGE(EG26:EJ26)</f>
        <v>7.7416666666666671</v>
      </c>
      <c r="FC26" s="102">
        <f>AVERAGE(EK26:EO26)</f>
        <v>17.330000000000002</v>
      </c>
      <c r="FD26" s="103">
        <f>AVERAGE(EP26:ET26)</f>
        <v>17.75</v>
      </c>
    </row>
    <row r="27" spans="2:160">
      <c r="B27" s="230"/>
      <c r="C27" s="104" t="s">
        <v>136</v>
      </c>
      <c r="D27" s="105">
        <f t="shared" ref="D27:AI27" si="39">IFERROR(D25/D23,"")</f>
        <v>6.7768595041322308E-2</v>
      </c>
      <c r="E27" s="106">
        <f t="shared" si="39"/>
        <v>7.650273224043716E-2</v>
      </c>
      <c r="F27" s="107">
        <f t="shared" si="39"/>
        <v>4.0677966101694912E-2</v>
      </c>
      <c r="G27" s="107">
        <f t="shared" si="39"/>
        <v>5.0632911392405063E-2</v>
      </c>
      <c r="H27" s="107">
        <f t="shared" si="39"/>
        <v>2.6402640264026403E-2</v>
      </c>
      <c r="I27" s="104">
        <f t="shared" si="39"/>
        <v>7.1537290715372903E-2</v>
      </c>
      <c r="J27" s="106">
        <f t="shared" si="39"/>
        <v>5.4888507718696397E-2</v>
      </c>
      <c r="K27" s="107">
        <f t="shared" si="39"/>
        <v>3.8216560509554139E-2</v>
      </c>
      <c r="L27" s="107">
        <f t="shared" si="39"/>
        <v>2.3494860499265784E-2</v>
      </c>
      <c r="M27" s="107">
        <f t="shared" si="39"/>
        <v>2.5487256371814093E-2</v>
      </c>
      <c r="N27" s="104">
        <f t="shared" si="39"/>
        <v>4.6728971962616821E-2</v>
      </c>
      <c r="O27" s="106">
        <f t="shared" si="39"/>
        <v>0.12452830188679245</v>
      </c>
      <c r="P27" s="107">
        <f t="shared" si="39"/>
        <v>7.399577167019028E-2</v>
      </c>
      <c r="Q27" s="107">
        <f t="shared" si="39"/>
        <v>9.7959183673469383E-2</v>
      </c>
      <c r="R27" s="107">
        <f t="shared" si="39"/>
        <v>7.7669902912621352E-2</v>
      </c>
      <c r="S27" s="104">
        <f t="shared" si="39"/>
        <v>2.9891304347826088E-2</v>
      </c>
      <c r="T27" s="106">
        <f t="shared" si="39"/>
        <v>3.8011695906432746E-2</v>
      </c>
      <c r="U27" s="107">
        <f t="shared" si="39"/>
        <v>3.7369207772795218E-2</v>
      </c>
      <c r="V27" s="107">
        <f t="shared" si="39"/>
        <v>2.0437956204379562E-2</v>
      </c>
      <c r="W27" s="107">
        <f t="shared" si="39"/>
        <v>4.0498442367601244E-2</v>
      </c>
      <c r="X27" s="104">
        <f t="shared" si="39"/>
        <v>2.1943573667711599E-2</v>
      </c>
      <c r="Y27" s="108">
        <f t="shared" si="39"/>
        <v>1.3333333333333334E-2</v>
      </c>
      <c r="Z27" s="109">
        <f t="shared" si="39"/>
        <v>2.359882005899705E-2</v>
      </c>
      <c r="AA27" s="109">
        <f t="shared" si="39"/>
        <v>8.670520231213872E-3</v>
      </c>
      <c r="AB27" s="109">
        <f t="shared" si="39"/>
        <v>3.3923303834808259E-2</v>
      </c>
      <c r="AC27" s="110">
        <f t="shared" si="39"/>
        <v>2.0558002936857563E-2</v>
      </c>
      <c r="AD27" s="108">
        <f t="shared" si="39"/>
        <v>1.1315417256011316E-2</v>
      </c>
      <c r="AE27" s="109">
        <f t="shared" si="39"/>
        <v>1.6129032258064516E-2</v>
      </c>
      <c r="AF27" s="109">
        <f t="shared" si="39"/>
        <v>2.2630834512022632E-2</v>
      </c>
      <c r="AG27" s="109">
        <f t="shared" si="39"/>
        <v>4.3103448275862072E-2</v>
      </c>
      <c r="AH27" s="111">
        <f t="shared" si="39"/>
        <v>4.821150855365474E-2</v>
      </c>
      <c r="AI27" s="111">
        <f t="shared" si="39"/>
        <v>2.4691358024691357E-2</v>
      </c>
      <c r="AJ27" s="110" t="str">
        <f t="shared" ref="AJ27:BO27" si="40">IFERROR(AJ25/AJ23,"")</f>
        <v/>
      </c>
      <c r="AK27" s="108" t="str">
        <f t="shared" si="40"/>
        <v/>
      </c>
      <c r="AL27" s="109" t="str">
        <f t="shared" si="40"/>
        <v/>
      </c>
      <c r="AM27" s="109" t="str">
        <f t="shared" si="40"/>
        <v/>
      </c>
      <c r="AN27" s="109">
        <f t="shared" si="40"/>
        <v>3.9473684210526314E-2</v>
      </c>
      <c r="AO27" s="111">
        <f t="shared" si="40"/>
        <v>3.259259259259259E-2</v>
      </c>
      <c r="AP27" s="111">
        <f t="shared" si="40"/>
        <v>1.4164305949008499E-2</v>
      </c>
      <c r="AQ27" s="110" t="str">
        <f t="shared" si="40"/>
        <v/>
      </c>
      <c r="AR27" s="108">
        <f t="shared" si="40"/>
        <v>4.2748091603053436E-2</v>
      </c>
      <c r="AS27" s="109">
        <f t="shared" si="40"/>
        <v>2.7338129496402876E-2</v>
      </c>
      <c r="AT27" s="109">
        <f t="shared" si="40"/>
        <v>3.1390134529147982E-2</v>
      </c>
      <c r="AU27" s="109">
        <f t="shared" si="40"/>
        <v>1.7937219730941704E-2</v>
      </c>
      <c r="AV27" s="111">
        <f t="shared" si="40"/>
        <v>1.2987012987012988E-2</v>
      </c>
      <c r="AW27" s="110" t="str">
        <f t="shared" si="40"/>
        <v/>
      </c>
      <c r="AX27" s="108" t="str">
        <f t="shared" si="40"/>
        <v/>
      </c>
      <c r="AY27" s="109" t="str">
        <f t="shared" si="40"/>
        <v/>
      </c>
      <c r="AZ27" s="109">
        <f t="shared" si="40"/>
        <v>3.0701754385964911E-2</v>
      </c>
      <c r="BA27" s="109">
        <f t="shared" si="40"/>
        <v>0.10747663551401869</v>
      </c>
      <c r="BB27" s="111">
        <f t="shared" si="40"/>
        <v>6.8554396423248884E-2</v>
      </c>
      <c r="BC27" s="111">
        <f t="shared" si="40"/>
        <v>2.7439024390243903E-2</v>
      </c>
      <c r="BD27" s="111" t="str">
        <f t="shared" si="40"/>
        <v/>
      </c>
      <c r="BE27" s="110" t="str">
        <f t="shared" si="40"/>
        <v/>
      </c>
      <c r="BF27" s="108">
        <f t="shared" si="40"/>
        <v>2.7941176470588237E-2</v>
      </c>
      <c r="BG27" s="109">
        <f t="shared" si="40"/>
        <v>1.5514809590973202E-2</v>
      </c>
      <c r="BH27" s="109">
        <f t="shared" si="40"/>
        <v>1.1816838995568686E-2</v>
      </c>
      <c r="BI27" s="109">
        <f t="shared" si="40"/>
        <v>1.7647058823529412E-2</v>
      </c>
      <c r="BJ27" s="111">
        <f t="shared" si="40"/>
        <v>2.809917355371901E-2</v>
      </c>
      <c r="BK27" s="111">
        <f t="shared" si="40"/>
        <v>2.5525525525525526E-2</v>
      </c>
      <c r="BL27" s="110" t="str">
        <f t="shared" si="40"/>
        <v/>
      </c>
      <c r="BM27" s="108">
        <f t="shared" si="40"/>
        <v>3.5007610350076102E-2</v>
      </c>
      <c r="BN27" s="109">
        <f t="shared" si="40"/>
        <v>2.6234567901234566E-2</v>
      </c>
      <c r="BO27" s="109">
        <f t="shared" si="40"/>
        <v>1.1544011544011544E-2</v>
      </c>
      <c r="BP27" s="109">
        <f t="shared" ref="BP27:CU27" si="41">IFERROR(BP25/BP23,"")</f>
        <v>7.246376811594203E-3</v>
      </c>
      <c r="BQ27" s="111" t="str">
        <f t="shared" si="41"/>
        <v/>
      </c>
      <c r="BR27" s="111" t="str">
        <f t="shared" si="41"/>
        <v/>
      </c>
      <c r="BS27" s="110" t="str">
        <f t="shared" si="41"/>
        <v/>
      </c>
      <c r="BT27" s="108">
        <f t="shared" si="41"/>
        <v>2.5510204081632654E-2</v>
      </c>
      <c r="BU27" s="109">
        <f t="shared" si="41"/>
        <v>5.4012345679012343E-2</v>
      </c>
      <c r="BV27" s="109">
        <f t="shared" si="41"/>
        <v>9.0483619344773794E-2</v>
      </c>
      <c r="BW27" s="109">
        <f t="shared" si="41"/>
        <v>4.1847041847041848E-2</v>
      </c>
      <c r="BX27" s="111">
        <f t="shared" si="41"/>
        <v>0.2110939907550077</v>
      </c>
      <c r="BY27" s="111" t="str">
        <f t="shared" si="41"/>
        <v/>
      </c>
      <c r="BZ27" s="111" t="str">
        <f t="shared" si="41"/>
        <v/>
      </c>
      <c r="CA27" s="112">
        <f t="shared" si="41"/>
        <v>1.098901098901099E-2</v>
      </c>
      <c r="CB27" s="110">
        <f t="shared" si="41"/>
        <v>0.11547911547911548</v>
      </c>
      <c r="CC27" s="112">
        <f t="shared" si="41"/>
        <v>0.18678815489749431</v>
      </c>
      <c r="CD27" s="111">
        <f t="shared" si="41"/>
        <v>3.2258064516129031E-2</v>
      </c>
      <c r="CE27" s="111">
        <f t="shared" si="41"/>
        <v>8.2352941176470587E-2</v>
      </c>
      <c r="CF27" s="111" t="str">
        <f t="shared" si="41"/>
        <v/>
      </c>
      <c r="CG27" s="110" t="str">
        <f t="shared" si="41"/>
        <v/>
      </c>
      <c r="CH27" s="108" t="str">
        <f t="shared" si="41"/>
        <v/>
      </c>
      <c r="CI27" s="109">
        <f t="shared" si="41"/>
        <v>4.0852575488454709E-2</v>
      </c>
      <c r="CJ27" s="109">
        <f t="shared" si="41"/>
        <v>1.7241379310344827E-2</v>
      </c>
      <c r="CK27" s="109">
        <f t="shared" si="41"/>
        <v>3.0418250950570342E-2</v>
      </c>
      <c r="CL27" s="111">
        <f t="shared" si="41"/>
        <v>8.0645161290322578E-3</v>
      </c>
      <c r="CM27" s="111" t="str">
        <f t="shared" si="41"/>
        <v/>
      </c>
      <c r="CN27" s="110" t="str">
        <f t="shared" si="41"/>
        <v/>
      </c>
      <c r="CO27" s="108" t="str">
        <f t="shared" si="41"/>
        <v/>
      </c>
      <c r="CP27" s="109" t="str">
        <f t="shared" si="41"/>
        <v/>
      </c>
      <c r="CQ27" s="109" t="str">
        <f t="shared" si="41"/>
        <v/>
      </c>
      <c r="CR27" s="109">
        <f t="shared" si="41"/>
        <v>0.11483253588516747</v>
      </c>
      <c r="CS27" s="111">
        <f t="shared" si="41"/>
        <v>0.12280701754385964</v>
      </c>
      <c r="CT27" s="111" t="str">
        <f t="shared" si="41"/>
        <v/>
      </c>
      <c r="CU27" s="110" t="str">
        <f t="shared" si="41"/>
        <v/>
      </c>
      <c r="CV27" s="108">
        <f t="shared" ref="CV27:DF27" si="42">IFERROR(CV25/CV23,"")</f>
        <v>5.569007263922518E-2</v>
      </c>
      <c r="CW27" s="109">
        <f t="shared" si="42"/>
        <v>9.1234347048300538E-2</v>
      </c>
      <c r="CX27" s="109">
        <f t="shared" si="42"/>
        <v>8.6879432624113476E-2</v>
      </c>
      <c r="CY27" s="109">
        <f t="shared" si="42"/>
        <v>4.2553191489361701E-2</v>
      </c>
      <c r="CZ27" s="111">
        <f t="shared" si="42"/>
        <v>3.0456852791878174E-2</v>
      </c>
      <c r="DA27" s="111" t="str">
        <f t="shared" si="42"/>
        <v/>
      </c>
      <c r="DB27" s="110" t="str">
        <f t="shared" si="42"/>
        <v/>
      </c>
      <c r="DC27" s="108" t="str">
        <f t="shared" si="42"/>
        <v/>
      </c>
      <c r="DD27" s="109" t="str">
        <f t="shared" si="42"/>
        <v/>
      </c>
      <c r="DE27" s="109" t="str">
        <f t="shared" si="42"/>
        <v/>
      </c>
      <c r="DF27" s="109" t="str">
        <f t="shared" si="42"/>
        <v/>
      </c>
      <c r="DG27" s="113"/>
      <c r="DH27" s="108">
        <f t="shared" ref="DH27:DZ27" si="43">IFERROR(DH25/DH23,"")</f>
        <v>6.7768595041322308E-2</v>
      </c>
      <c r="DI27" s="109">
        <f t="shared" si="43"/>
        <v>5.1615298923134052E-2</v>
      </c>
      <c r="DJ27" s="109">
        <f t="shared" si="43"/>
        <v>3.5701406419040752E-2</v>
      </c>
      <c r="DK27" s="109">
        <f t="shared" si="43"/>
        <v>8.2590333176912251E-2</v>
      </c>
      <c r="DL27" s="110">
        <f t="shared" si="43"/>
        <v>3.2677559186395463E-2</v>
      </c>
      <c r="DM27" s="108">
        <f t="shared" si="43"/>
        <v>2.079894354572466E-2</v>
      </c>
      <c r="DN27" s="109">
        <f t="shared" si="43"/>
        <v>2.5998905309250135E-2</v>
      </c>
      <c r="DO27" s="109">
        <f t="shared" si="43"/>
        <v>2.815485168426345E-2</v>
      </c>
      <c r="DP27" s="110">
        <f t="shared" si="43"/>
        <v>2.6634382566585957E-2</v>
      </c>
      <c r="DQ27" s="108">
        <f t="shared" si="43"/>
        <v>6.0618556701030925E-2</v>
      </c>
      <c r="DR27" s="109">
        <f t="shared" si="43"/>
        <v>2.0911127707244213E-2</v>
      </c>
      <c r="DS27" s="109">
        <f t="shared" si="43"/>
        <v>1.9717261904761904E-2</v>
      </c>
      <c r="DT27" s="109">
        <f t="shared" si="43"/>
        <v>8.5119602360981678E-2</v>
      </c>
      <c r="DU27" s="110">
        <f t="shared" si="43"/>
        <v>6.6147859922178989E-2</v>
      </c>
      <c r="DV27" s="108">
        <f t="shared" si="43"/>
        <v>9.9322799097065456E-2</v>
      </c>
      <c r="DW27" s="109">
        <f t="shared" si="43"/>
        <v>2.3591087811271297E-2</v>
      </c>
      <c r="DX27" s="109">
        <f t="shared" si="43"/>
        <v>0.11922663802363051</v>
      </c>
      <c r="DY27" s="109">
        <f t="shared" si="43"/>
        <v>6.099342585829072E-2</v>
      </c>
      <c r="DZ27" s="110">
        <f t="shared" si="43"/>
        <v>6.1935483870967742E-2</v>
      </c>
      <c r="EA27" s="114"/>
      <c r="EB27" s="108">
        <f t="shared" ref="EB27:ET27" si="44">IFERROR(EB25/EB23,"")</f>
        <v>6.7768595041322308E-2</v>
      </c>
      <c r="EC27" s="109">
        <f t="shared" si="44"/>
        <v>5.1615298923134052E-2</v>
      </c>
      <c r="ED27" s="109">
        <f t="shared" si="44"/>
        <v>3.5701406419040752E-2</v>
      </c>
      <c r="EE27" s="111">
        <f t="shared" si="44"/>
        <v>8.2590333176912251E-2</v>
      </c>
      <c r="EF27" s="110">
        <f t="shared" si="44"/>
        <v>3.267755918639547E-2</v>
      </c>
      <c r="EG27" s="108">
        <f t="shared" si="44"/>
        <v>2.0798943545724664E-2</v>
      </c>
      <c r="EH27" s="109">
        <f t="shared" si="44"/>
        <v>2.5998905309250139E-2</v>
      </c>
      <c r="EI27" s="111">
        <f t="shared" si="44"/>
        <v>2.815485168426345E-2</v>
      </c>
      <c r="EJ27" s="110">
        <f t="shared" si="44"/>
        <v>2.6634382566585957E-2</v>
      </c>
      <c r="EK27" s="108">
        <f t="shared" si="44"/>
        <v>6.0618556701030925E-2</v>
      </c>
      <c r="EL27" s="109">
        <f t="shared" si="44"/>
        <v>2.0911127707244213E-2</v>
      </c>
      <c r="EM27" s="111">
        <f t="shared" si="44"/>
        <v>1.9717261904761904E-2</v>
      </c>
      <c r="EN27" s="111">
        <f t="shared" si="44"/>
        <v>8.5119602360981678E-2</v>
      </c>
      <c r="EO27" s="110">
        <f t="shared" si="44"/>
        <v>6.6147859922178989E-2</v>
      </c>
      <c r="EP27" s="108">
        <f t="shared" si="44"/>
        <v>9.9322799097065456E-2</v>
      </c>
      <c r="EQ27" s="109">
        <f t="shared" si="44"/>
        <v>2.3591087811271297E-2</v>
      </c>
      <c r="ER27" s="111">
        <f t="shared" si="44"/>
        <v>0.11922663802363051</v>
      </c>
      <c r="ES27" s="111" t="str">
        <f t="shared" si="44"/>
        <v/>
      </c>
      <c r="ET27" s="110" t="str">
        <f t="shared" si="44"/>
        <v/>
      </c>
      <c r="EU27" s="114"/>
      <c r="EV27" s="115">
        <f>IFERROR(EV25/EV23,"")</f>
        <v>4.937059191143648E-2</v>
      </c>
      <c r="EW27" s="115">
        <f>IFERROR(EW25/EW23,"")</f>
        <v>2.5217100868403473E-2</v>
      </c>
      <c r="EX27" s="115">
        <f>IFERROR(EX25/EX23,"")</f>
        <v>4.6417682926829268E-2</v>
      </c>
      <c r="EY27" s="116">
        <f>IFERROR(EY25/EY23,"")</f>
        <v>6.3254265501456519E-2</v>
      </c>
      <c r="EZ27" s="114"/>
      <c r="FA27" s="115">
        <f>IFERROR(FA25/FA23,"")</f>
        <v>5.2639306952499826E-2</v>
      </c>
      <c r="FB27" s="115">
        <f>IFERROR(FB25/FB23,"")</f>
        <v>2.5434430504845305E-2</v>
      </c>
      <c r="FC27" s="115">
        <f>IFERROR(FC25/FC23,"")</f>
        <v>4.9830264014212096E-2</v>
      </c>
      <c r="FD27" s="116">
        <f>IFERROR(FD25/FD23,"")</f>
        <v>7.6312679385446558E-2</v>
      </c>
    </row>
    <row r="28" spans="2:160">
      <c r="B28" s="247"/>
      <c r="C28" s="133" t="s">
        <v>137</v>
      </c>
      <c r="D28" s="134">
        <f t="shared" ref="D28:AI28" si="45">IFERROR(D26/D23,"")</f>
        <v>3.3057851239669422E-2</v>
      </c>
      <c r="E28" s="135">
        <f t="shared" si="45"/>
        <v>5.737704918032787E-2</v>
      </c>
      <c r="F28" s="136">
        <f t="shared" si="45"/>
        <v>8.4745762711864406E-3</v>
      </c>
      <c r="G28" s="136">
        <f t="shared" si="45"/>
        <v>1.8987341772151899E-2</v>
      </c>
      <c r="H28" s="136">
        <f t="shared" si="45"/>
        <v>9.9009900990099011E-3</v>
      </c>
      <c r="I28" s="137">
        <f t="shared" si="45"/>
        <v>1.8264840182648401E-2</v>
      </c>
      <c r="J28" s="135">
        <f t="shared" si="45"/>
        <v>2.2298456260720412E-2</v>
      </c>
      <c r="K28" s="136">
        <f t="shared" si="45"/>
        <v>2.0700636942675158E-2</v>
      </c>
      <c r="L28" s="136">
        <f t="shared" si="45"/>
        <v>8.8105726872246704E-3</v>
      </c>
      <c r="M28" s="136">
        <f t="shared" si="45"/>
        <v>1.0494752623688156E-2</v>
      </c>
      <c r="N28" s="137">
        <f t="shared" si="45"/>
        <v>1.8691588785046728E-2</v>
      </c>
      <c r="O28" s="135">
        <f t="shared" si="45"/>
        <v>3.7735849056603772E-2</v>
      </c>
      <c r="P28" s="136">
        <f t="shared" si="45"/>
        <v>1.6913319238900635E-2</v>
      </c>
      <c r="Q28" s="136">
        <f t="shared" si="45"/>
        <v>2.0408163265306121E-2</v>
      </c>
      <c r="R28" s="136">
        <f t="shared" si="45"/>
        <v>9.7087378640776691E-3</v>
      </c>
      <c r="S28" s="137">
        <f t="shared" si="45"/>
        <v>2.1739130434782608E-2</v>
      </c>
      <c r="T28" s="135">
        <f t="shared" si="45"/>
        <v>1.3157894736842105E-2</v>
      </c>
      <c r="U28" s="136">
        <f t="shared" si="45"/>
        <v>1.3452914798206279E-2</v>
      </c>
      <c r="V28" s="136">
        <f t="shared" si="45"/>
        <v>1.4598540145985401E-2</v>
      </c>
      <c r="W28" s="136">
        <f t="shared" si="45"/>
        <v>1.8691588785046728E-2</v>
      </c>
      <c r="X28" s="137">
        <f t="shared" si="45"/>
        <v>1.2539184952978056E-2</v>
      </c>
      <c r="Y28" s="135">
        <f t="shared" si="45"/>
        <v>0</v>
      </c>
      <c r="Z28" s="136">
        <f t="shared" si="45"/>
        <v>4.4247787610619468E-3</v>
      </c>
      <c r="AA28" s="136">
        <f t="shared" si="45"/>
        <v>2.8901734104046241E-3</v>
      </c>
      <c r="AB28" s="136">
        <f t="shared" si="45"/>
        <v>2.6548672566371681E-2</v>
      </c>
      <c r="AC28" s="137">
        <f t="shared" si="45"/>
        <v>8.8105726872246704E-3</v>
      </c>
      <c r="AD28" s="135">
        <f t="shared" si="45"/>
        <v>2.828854314002829E-3</v>
      </c>
      <c r="AE28" s="136">
        <f t="shared" si="45"/>
        <v>1.0263929618768328E-2</v>
      </c>
      <c r="AF28" s="136">
        <f t="shared" si="45"/>
        <v>2.828854314002829E-3</v>
      </c>
      <c r="AG28" s="136">
        <f t="shared" si="45"/>
        <v>8.6206896551724137E-3</v>
      </c>
      <c r="AH28" s="138">
        <f t="shared" si="45"/>
        <v>4.3545878693623641E-2</v>
      </c>
      <c r="AI28" s="138">
        <f t="shared" si="45"/>
        <v>2.1164021164021163E-2</v>
      </c>
      <c r="AJ28" s="137" t="str">
        <f t="shared" ref="AJ28:BO28" si="46">IFERROR(AJ26/AJ23,"")</f>
        <v/>
      </c>
      <c r="AK28" s="135" t="str">
        <f t="shared" si="46"/>
        <v/>
      </c>
      <c r="AL28" s="136" t="str">
        <f t="shared" si="46"/>
        <v/>
      </c>
      <c r="AM28" s="136" t="str">
        <f t="shared" si="46"/>
        <v/>
      </c>
      <c r="AN28" s="136">
        <f t="shared" si="46"/>
        <v>1.3157894736842105E-2</v>
      </c>
      <c r="AO28" s="138">
        <f t="shared" si="46"/>
        <v>2.2222222222222223E-2</v>
      </c>
      <c r="AP28" s="138">
        <f t="shared" si="46"/>
        <v>1.4164305949008499E-3</v>
      </c>
      <c r="AQ28" s="137" t="str">
        <f t="shared" si="46"/>
        <v/>
      </c>
      <c r="AR28" s="135">
        <f t="shared" si="46"/>
        <v>3.8167938931297711E-2</v>
      </c>
      <c r="AS28" s="136">
        <f t="shared" si="46"/>
        <v>7.1942446043165471E-3</v>
      </c>
      <c r="AT28" s="136">
        <f t="shared" si="46"/>
        <v>1.3452914798206279E-2</v>
      </c>
      <c r="AU28" s="136">
        <f t="shared" si="46"/>
        <v>1.3452914798206279E-2</v>
      </c>
      <c r="AV28" s="138">
        <f t="shared" si="46"/>
        <v>1.6233766233766235E-3</v>
      </c>
      <c r="AW28" s="137" t="str">
        <f t="shared" si="46"/>
        <v/>
      </c>
      <c r="AX28" s="135" t="str">
        <f t="shared" si="46"/>
        <v/>
      </c>
      <c r="AY28" s="136" t="str">
        <f t="shared" si="46"/>
        <v/>
      </c>
      <c r="AZ28" s="136">
        <f t="shared" si="46"/>
        <v>1.3157894736842105E-2</v>
      </c>
      <c r="BA28" s="136">
        <f t="shared" si="46"/>
        <v>4.2056074766355138E-2</v>
      </c>
      <c r="BB28" s="138">
        <f t="shared" si="46"/>
        <v>6.1102831594634872E-2</v>
      </c>
      <c r="BC28" s="138">
        <f t="shared" si="46"/>
        <v>1.676829268292683E-2</v>
      </c>
      <c r="BD28" s="138" t="str">
        <f t="shared" si="46"/>
        <v/>
      </c>
      <c r="BE28" s="137" t="str">
        <f t="shared" si="46"/>
        <v/>
      </c>
      <c r="BF28" s="135">
        <f t="shared" si="46"/>
        <v>7.3529411764705881E-3</v>
      </c>
      <c r="BG28" s="136">
        <f t="shared" si="46"/>
        <v>5.6417489421720732E-3</v>
      </c>
      <c r="BH28" s="136">
        <f t="shared" si="46"/>
        <v>2.9542097488921715E-3</v>
      </c>
      <c r="BI28" s="136">
        <f t="shared" si="46"/>
        <v>7.3529411764705881E-3</v>
      </c>
      <c r="BJ28" s="138">
        <f t="shared" si="46"/>
        <v>8.2644628099173556E-3</v>
      </c>
      <c r="BK28" s="138">
        <f t="shared" si="46"/>
        <v>9.0090090090090089E-3</v>
      </c>
      <c r="BL28" s="137" t="str">
        <f t="shared" si="46"/>
        <v/>
      </c>
      <c r="BM28" s="135">
        <f t="shared" si="46"/>
        <v>1.8264840182648401E-2</v>
      </c>
      <c r="BN28" s="136">
        <f t="shared" si="46"/>
        <v>4.6296296296296294E-3</v>
      </c>
      <c r="BO28" s="136">
        <f t="shared" si="46"/>
        <v>4.329004329004329E-3</v>
      </c>
      <c r="BP28" s="136">
        <f t="shared" ref="BP28:CU28" si="47">IFERROR(BP26/BP23,"")</f>
        <v>0</v>
      </c>
      <c r="BQ28" s="138" t="str">
        <f t="shared" si="47"/>
        <v/>
      </c>
      <c r="BR28" s="138" t="str">
        <f t="shared" si="47"/>
        <v/>
      </c>
      <c r="BS28" s="137" t="str">
        <f t="shared" si="47"/>
        <v/>
      </c>
      <c r="BT28" s="135">
        <f t="shared" si="47"/>
        <v>5.1020408163265302E-3</v>
      </c>
      <c r="BU28" s="136">
        <f t="shared" si="47"/>
        <v>2.7777777777777776E-2</v>
      </c>
      <c r="BV28" s="136">
        <f t="shared" si="47"/>
        <v>1.7160686427457099E-2</v>
      </c>
      <c r="BW28" s="136">
        <f t="shared" si="47"/>
        <v>2.5974025974025976E-2</v>
      </c>
      <c r="BX28" s="138">
        <f t="shared" si="47"/>
        <v>0.1679506933744222</v>
      </c>
      <c r="BY28" s="138" t="str">
        <f t="shared" si="47"/>
        <v/>
      </c>
      <c r="BZ28" s="138" t="str">
        <f t="shared" si="47"/>
        <v/>
      </c>
      <c r="CA28" s="134">
        <f t="shared" si="47"/>
        <v>1.098901098901099E-2</v>
      </c>
      <c r="CB28" s="137">
        <f t="shared" si="47"/>
        <v>0.11547911547911548</v>
      </c>
      <c r="CC28" s="134">
        <f t="shared" si="47"/>
        <v>7.7448747152619596E-2</v>
      </c>
      <c r="CD28" s="138">
        <f t="shared" si="47"/>
        <v>3.2258064516129031E-2</v>
      </c>
      <c r="CE28" s="138">
        <f t="shared" si="47"/>
        <v>8.2352941176470587E-2</v>
      </c>
      <c r="CF28" s="138" t="str">
        <f t="shared" si="47"/>
        <v/>
      </c>
      <c r="CG28" s="137" t="str">
        <f t="shared" si="47"/>
        <v/>
      </c>
      <c r="CH28" s="135" t="str">
        <f t="shared" si="47"/>
        <v/>
      </c>
      <c r="CI28" s="136">
        <f t="shared" si="47"/>
        <v>1.4209591474245116E-2</v>
      </c>
      <c r="CJ28" s="136">
        <f t="shared" si="47"/>
        <v>1.7241379310344827E-2</v>
      </c>
      <c r="CK28" s="136">
        <f t="shared" si="47"/>
        <v>3.0418250950570342E-2</v>
      </c>
      <c r="CL28" s="138">
        <f t="shared" si="47"/>
        <v>8.0645161290322578E-3</v>
      </c>
      <c r="CM28" s="138" t="str">
        <f t="shared" si="47"/>
        <v/>
      </c>
      <c r="CN28" s="137" t="str">
        <f t="shared" si="47"/>
        <v/>
      </c>
      <c r="CO28" s="135" t="str">
        <f t="shared" si="47"/>
        <v/>
      </c>
      <c r="CP28" s="136" t="str">
        <f t="shared" si="47"/>
        <v/>
      </c>
      <c r="CQ28" s="136" t="str">
        <f t="shared" si="47"/>
        <v/>
      </c>
      <c r="CR28" s="136">
        <f t="shared" si="47"/>
        <v>3.1100478468899521E-2</v>
      </c>
      <c r="CS28" s="138">
        <f t="shared" si="47"/>
        <v>3.5087719298245612E-2</v>
      </c>
      <c r="CT28" s="138" t="str">
        <f t="shared" si="47"/>
        <v/>
      </c>
      <c r="CU28" s="137" t="str">
        <f t="shared" si="47"/>
        <v/>
      </c>
      <c r="CV28" s="135">
        <f t="shared" ref="CV28:DF28" si="48">IFERROR(CV26/CV23,"")</f>
        <v>5.569007263922518E-2</v>
      </c>
      <c r="CW28" s="136">
        <f t="shared" si="48"/>
        <v>3.3989266547406083E-2</v>
      </c>
      <c r="CX28" s="136">
        <f t="shared" si="48"/>
        <v>4.2553191489361701E-2</v>
      </c>
      <c r="CY28" s="136">
        <f t="shared" si="48"/>
        <v>1.8003273322422259E-2</v>
      </c>
      <c r="CZ28" s="138">
        <f t="shared" si="48"/>
        <v>1.015228426395939E-2</v>
      </c>
      <c r="DA28" s="138" t="str">
        <f t="shared" si="48"/>
        <v/>
      </c>
      <c r="DB28" s="137" t="str">
        <f t="shared" si="48"/>
        <v/>
      </c>
      <c r="DC28" s="135" t="str">
        <f t="shared" si="48"/>
        <v/>
      </c>
      <c r="DD28" s="136" t="str">
        <f t="shared" si="48"/>
        <v/>
      </c>
      <c r="DE28" s="136" t="str">
        <f t="shared" si="48"/>
        <v/>
      </c>
      <c r="DF28" s="136" t="str">
        <f t="shared" si="48"/>
        <v/>
      </c>
      <c r="DG28" s="71"/>
      <c r="DH28" s="135">
        <f t="shared" ref="DH28:DZ28" si="49">IFERROR(DH26/DH23,"")</f>
        <v>3.3057851239669422E-2</v>
      </c>
      <c r="DI28" s="136">
        <f t="shared" si="49"/>
        <v>1.968065354623097E-2</v>
      </c>
      <c r="DJ28" s="136">
        <f t="shared" si="49"/>
        <v>1.5506671474936892E-2</v>
      </c>
      <c r="DK28" s="136">
        <f t="shared" si="49"/>
        <v>2.1586109807602064E-2</v>
      </c>
      <c r="DL28" s="137">
        <f t="shared" si="49"/>
        <v>1.4671557185728577E-2</v>
      </c>
      <c r="DM28" s="135">
        <f t="shared" si="49"/>
        <v>9.5741168702542095E-3</v>
      </c>
      <c r="DN28" s="136">
        <f t="shared" si="49"/>
        <v>1.4778325123152709E-2</v>
      </c>
      <c r="DO28" s="136">
        <f t="shared" si="49"/>
        <v>1.2066365007541479E-2</v>
      </c>
      <c r="DP28" s="137">
        <f t="shared" si="49"/>
        <v>1.4830508474576272E-2</v>
      </c>
      <c r="DQ28" s="135">
        <f t="shared" si="49"/>
        <v>3.5051546391752578E-2</v>
      </c>
      <c r="DR28" s="136">
        <f t="shared" si="49"/>
        <v>6.7214339058999251E-3</v>
      </c>
      <c r="DS28" s="136">
        <f t="shared" si="49"/>
        <v>6.6964285714285711E-3</v>
      </c>
      <c r="DT28" s="136">
        <f t="shared" si="49"/>
        <v>4.9394221808014914E-2</v>
      </c>
      <c r="DU28" s="137">
        <f t="shared" si="49"/>
        <v>6.6147859922178989E-2</v>
      </c>
      <c r="DV28" s="135">
        <f t="shared" si="49"/>
        <v>6.320541760722348E-2</v>
      </c>
      <c r="DW28" s="136">
        <f t="shared" si="49"/>
        <v>1.7038007863695939E-2</v>
      </c>
      <c r="DX28" s="136">
        <f t="shared" si="49"/>
        <v>3.3297529538131039E-2</v>
      </c>
      <c r="DY28" s="136">
        <f t="shared" si="49"/>
        <v>3.0314097881665451E-2</v>
      </c>
      <c r="DZ28" s="137">
        <f t="shared" si="49"/>
        <v>2.5806451612903226E-2</v>
      </c>
      <c r="EB28" s="135">
        <f t="shared" ref="EB28:ET28" si="50">IFERROR(EB26/EB23,"")</f>
        <v>3.3057851239669422E-2</v>
      </c>
      <c r="EC28" s="136">
        <f t="shared" si="50"/>
        <v>1.9680653546230966E-2</v>
      </c>
      <c r="ED28" s="136">
        <f t="shared" si="50"/>
        <v>1.550667147493689E-2</v>
      </c>
      <c r="EE28" s="138">
        <f t="shared" si="50"/>
        <v>2.1586109807602064E-2</v>
      </c>
      <c r="EF28" s="137">
        <f t="shared" si="50"/>
        <v>1.4671557185728578E-2</v>
      </c>
      <c r="EG28" s="135">
        <f t="shared" si="50"/>
        <v>9.5741168702542095E-3</v>
      </c>
      <c r="EH28" s="136">
        <f t="shared" si="50"/>
        <v>1.4778325123152709E-2</v>
      </c>
      <c r="EI28" s="138">
        <f t="shared" si="50"/>
        <v>1.2066365007541479E-2</v>
      </c>
      <c r="EJ28" s="137">
        <f t="shared" si="50"/>
        <v>1.4830508474576272E-2</v>
      </c>
      <c r="EK28" s="135">
        <f t="shared" si="50"/>
        <v>3.5051546391752578E-2</v>
      </c>
      <c r="EL28" s="136">
        <f t="shared" si="50"/>
        <v>6.7214339058999251E-3</v>
      </c>
      <c r="EM28" s="138">
        <f t="shared" si="50"/>
        <v>6.6964285714285711E-3</v>
      </c>
      <c r="EN28" s="138">
        <f t="shared" si="50"/>
        <v>4.9394221808014914E-2</v>
      </c>
      <c r="EO28" s="137">
        <f t="shared" si="50"/>
        <v>6.6147859922178989E-2</v>
      </c>
      <c r="EP28" s="135">
        <f t="shared" si="50"/>
        <v>6.320541760722348E-2</v>
      </c>
      <c r="EQ28" s="136">
        <f t="shared" si="50"/>
        <v>1.7038007863695939E-2</v>
      </c>
      <c r="ER28" s="138">
        <f t="shared" si="50"/>
        <v>3.3297529538131039E-2</v>
      </c>
      <c r="ES28" s="138" t="str">
        <f t="shared" si="50"/>
        <v/>
      </c>
      <c r="ET28" s="137" t="str">
        <f t="shared" si="50"/>
        <v/>
      </c>
      <c r="EV28" s="139">
        <f>IFERROR(EV26/EV23,"")</f>
        <v>1.8391215070083029E-2</v>
      </c>
      <c r="EW28" s="139">
        <f>IFERROR(EW26/EW23,"")</f>
        <v>1.3026052104208416E-2</v>
      </c>
      <c r="EX28" s="139">
        <f>IFERROR(EX26/EX23,"")</f>
        <v>2.5914634146341462E-2</v>
      </c>
      <c r="EY28" s="140">
        <f>IFERROR(EY26/EY23,"")</f>
        <v>3.0898876404494381E-2</v>
      </c>
      <c r="FA28" s="139">
        <f>IFERROR(FA26/FA23,"")</f>
        <v>2.0996989942001328E-2</v>
      </c>
      <c r="FB28" s="139">
        <f>IFERROR(FB26/FB23,"")</f>
        <v>1.2751530458176627E-2</v>
      </c>
      <c r="FC28" s="139">
        <f>IFERROR(FC26/FC23,"")</f>
        <v>3.0482120556522968E-2</v>
      </c>
      <c r="FD28" s="140">
        <f>IFERROR(FD26/FD23,"")</f>
        <v>3.5961505993584331E-2</v>
      </c>
    </row>
    <row r="29" spans="2:160">
      <c r="B29" s="246" t="s">
        <v>2</v>
      </c>
      <c r="C29" s="78" t="s">
        <v>132</v>
      </c>
      <c r="D29" s="79">
        <v>668</v>
      </c>
      <c r="E29" s="80">
        <v>664</v>
      </c>
      <c r="F29" s="81">
        <v>657</v>
      </c>
      <c r="G29" s="81">
        <v>630</v>
      </c>
      <c r="H29" s="81">
        <v>643</v>
      </c>
      <c r="I29" s="82">
        <v>486</v>
      </c>
      <c r="J29" s="80">
        <v>486</v>
      </c>
      <c r="K29" s="81">
        <v>663</v>
      </c>
      <c r="L29" s="81">
        <v>536</v>
      </c>
      <c r="M29" s="81">
        <v>616</v>
      </c>
      <c r="N29" s="82">
        <v>638</v>
      </c>
      <c r="O29" s="80">
        <v>560</v>
      </c>
      <c r="P29" s="81">
        <v>715</v>
      </c>
      <c r="Q29" s="81">
        <v>607</v>
      </c>
      <c r="R29" s="81">
        <v>543</v>
      </c>
      <c r="S29" s="82">
        <v>549</v>
      </c>
      <c r="T29" s="80">
        <v>648</v>
      </c>
      <c r="U29" s="81">
        <v>697</v>
      </c>
      <c r="V29" s="81">
        <v>711</v>
      </c>
      <c r="W29" s="81">
        <v>700</v>
      </c>
      <c r="X29" s="82">
        <v>625</v>
      </c>
      <c r="Y29" s="80">
        <v>764</v>
      </c>
      <c r="Z29" s="81">
        <v>683</v>
      </c>
      <c r="AA29" s="81">
        <v>683</v>
      </c>
      <c r="AB29" s="81">
        <v>681</v>
      </c>
      <c r="AC29" s="82">
        <v>664</v>
      </c>
      <c r="AD29" s="80">
        <v>699</v>
      </c>
      <c r="AE29" s="81">
        <v>655</v>
      </c>
      <c r="AF29" s="81">
        <v>634</v>
      </c>
      <c r="AG29" s="81">
        <v>658</v>
      </c>
      <c r="AH29" s="83">
        <v>673</v>
      </c>
      <c r="AI29" s="83">
        <v>278</v>
      </c>
      <c r="AJ29" s="82"/>
      <c r="AK29" s="80"/>
      <c r="AL29" s="81"/>
      <c r="AM29" s="81"/>
      <c r="AN29" s="81">
        <v>666</v>
      </c>
      <c r="AO29" s="83">
        <v>679</v>
      </c>
      <c r="AP29" s="83"/>
      <c r="AQ29" s="82"/>
      <c r="AR29" s="80">
        <v>692</v>
      </c>
      <c r="AS29" s="81">
        <v>677</v>
      </c>
      <c r="AT29" s="81">
        <v>691</v>
      </c>
      <c r="AU29" s="81">
        <v>696</v>
      </c>
      <c r="AV29" s="83">
        <v>690</v>
      </c>
      <c r="AW29" s="82">
        <v>0</v>
      </c>
      <c r="AX29" s="80"/>
      <c r="AY29" s="81"/>
      <c r="AZ29" s="81">
        <v>662</v>
      </c>
      <c r="BA29" s="81">
        <v>674</v>
      </c>
      <c r="BB29" s="83">
        <v>686</v>
      </c>
      <c r="BC29" s="83">
        <v>708</v>
      </c>
      <c r="BD29" s="83"/>
      <c r="BE29" s="82"/>
      <c r="BF29" s="80">
        <v>691</v>
      </c>
      <c r="BG29" s="81">
        <v>708</v>
      </c>
      <c r="BH29" s="81">
        <v>680</v>
      </c>
      <c r="BI29" s="81">
        <v>675</v>
      </c>
      <c r="BJ29" s="83">
        <v>615</v>
      </c>
      <c r="BK29" s="83"/>
      <c r="BL29" s="82"/>
      <c r="BM29" s="80">
        <v>680</v>
      </c>
      <c r="BN29" s="81">
        <v>700</v>
      </c>
      <c r="BO29" s="81">
        <v>710</v>
      </c>
      <c r="BP29" s="81">
        <v>666</v>
      </c>
      <c r="BQ29" s="83">
        <v>687</v>
      </c>
      <c r="BR29" s="83"/>
      <c r="BS29" s="82"/>
      <c r="BT29" s="80">
        <v>685</v>
      </c>
      <c r="BU29" s="81">
        <v>96</v>
      </c>
      <c r="BV29" s="81">
        <v>652</v>
      </c>
      <c r="BW29" s="81">
        <v>672</v>
      </c>
      <c r="BX29" s="83">
        <v>631</v>
      </c>
      <c r="BY29" s="83"/>
      <c r="BZ29" s="83"/>
      <c r="CA29" s="79">
        <v>536</v>
      </c>
      <c r="CB29" s="82">
        <v>510</v>
      </c>
      <c r="CC29" s="79">
        <v>392</v>
      </c>
      <c r="CD29" s="83">
        <v>475</v>
      </c>
      <c r="CE29" s="83">
        <v>493</v>
      </c>
      <c r="CF29" s="83"/>
      <c r="CG29" s="82"/>
      <c r="CH29" s="80"/>
      <c r="CI29" s="83">
        <v>560</v>
      </c>
      <c r="CJ29" s="81">
        <v>205</v>
      </c>
      <c r="CK29" s="81">
        <v>436</v>
      </c>
      <c r="CL29" s="83">
        <v>637</v>
      </c>
      <c r="CM29" s="83"/>
      <c r="CN29" s="82"/>
      <c r="CO29" s="80"/>
      <c r="CP29" s="81"/>
      <c r="CQ29" s="81">
        <v>575</v>
      </c>
      <c r="CR29" s="81">
        <v>431</v>
      </c>
      <c r="CS29" s="83">
        <v>480</v>
      </c>
      <c r="CT29" s="83"/>
      <c r="CU29" s="82"/>
      <c r="CV29" s="80">
        <v>572</v>
      </c>
      <c r="CW29" s="81">
        <v>565</v>
      </c>
      <c r="CX29" s="81">
        <v>562</v>
      </c>
      <c r="CY29" s="81">
        <v>613</v>
      </c>
      <c r="CZ29" s="83">
        <v>612</v>
      </c>
      <c r="DA29" s="83"/>
      <c r="DB29" s="82"/>
      <c r="DC29" s="80"/>
      <c r="DD29" s="81"/>
      <c r="DE29" s="81"/>
      <c r="DF29" s="81"/>
      <c r="DG29" s="71"/>
      <c r="DH29" s="80">
        <f>SUM(D29)</f>
        <v>668</v>
      </c>
      <c r="DI29" s="81">
        <f>SUM(E29:I29)</f>
        <v>3080</v>
      </c>
      <c r="DJ29" s="81">
        <f>SUM(J29:N29)</f>
        <v>2939</v>
      </c>
      <c r="DK29" s="83">
        <f>SUM(O29:S29)</f>
        <v>2974</v>
      </c>
      <c r="DL29" s="82">
        <f>SUM(T29:X29)</f>
        <v>3381</v>
      </c>
      <c r="DM29" s="80">
        <f>SUM(Y29:AC29)</f>
        <v>3475</v>
      </c>
      <c r="DN29" s="81">
        <f>SUM(AD29:AJ29)</f>
        <v>3597</v>
      </c>
      <c r="DO29" s="83">
        <f>SUM(AK29:AQ29)</f>
        <v>1345</v>
      </c>
      <c r="DP29" s="82">
        <f>SUM(AR29:AW29)</f>
        <v>3446</v>
      </c>
      <c r="DQ29" s="80">
        <f>SUM(AX29:BE29)</f>
        <v>2730</v>
      </c>
      <c r="DR29" s="81">
        <f>SUM(BF29:BL29)</f>
        <v>3369</v>
      </c>
      <c r="DS29" s="83">
        <f>SUM(BM29:BS29)</f>
        <v>3443</v>
      </c>
      <c r="DT29" s="83">
        <f>SUM(BT29:BZ29)</f>
        <v>2736</v>
      </c>
      <c r="DU29" s="82">
        <f>SUM(CA29:CB29)</f>
        <v>1046</v>
      </c>
      <c r="DV29" s="80">
        <f>SUM(CC29:CG29)</f>
        <v>1360</v>
      </c>
      <c r="DW29" s="81">
        <f>SUM(CH29:CN29)</f>
        <v>1838</v>
      </c>
      <c r="DX29" s="83">
        <f>SUM(CO29:CU29)</f>
        <v>1486</v>
      </c>
      <c r="DY29" s="83">
        <f t="shared" ref="DY29:DZ32" si="51">SUM(CV29:DB29)</f>
        <v>2924</v>
      </c>
      <c r="DZ29" s="82">
        <f t="shared" si="51"/>
        <v>2352</v>
      </c>
      <c r="EB29" s="80">
        <f>AVERAGE(D29)</f>
        <v>668</v>
      </c>
      <c r="EC29" s="81">
        <f>AVERAGE(E29:I29)</f>
        <v>616</v>
      </c>
      <c r="ED29" s="81">
        <f>AVERAGE(J29:N29)</f>
        <v>587.79999999999995</v>
      </c>
      <c r="EE29" s="83">
        <f>AVERAGE(O29:S29)</f>
        <v>594.79999999999995</v>
      </c>
      <c r="EF29" s="82">
        <f>AVERAGE(T29:X29)</f>
        <v>676.2</v>
      </c>
      <c r="EG29" s="80">
        <f>AVERAGE(Y29:AC29)</f>
        <v>695</v>
      </c>
      <c r="EH29" s="81">
        <f>AVERAGE(AD29:AJ29)</f>
        <v>599.5</v>
      </c>
      <c r="EI29" s="83">
        <f>AVERAGE(AK29:AQ29)</f>
        <v>672.5</v>
      </c>
      <c r="EJ29" s="82">
        <f>AVERAGE(AR29:AW29)</f>
        <v>574.33333333333337</v>
      </c>
      <c r="EK29" s="80">
        <f>AVERAGE(AX29:BE29)</f>
        <v>682.5</v>
      </c>
      <c r="EL29" s="81">
        <f>AVERAGE(BF29:BL29)</f>
        <v>673.8</v>
      </c>
      <c r="EM29" s="83">
        <f>AVERAGE(BM29:BS29)</f>
        <v>688.6</v>
      </c>
      <c r="EN29" s="83">
        <f>AVERAGE(BT29:BZ29)</f>
        <v>547.20000000000005</v>
      </c>
      <c r="EO29" s="82">
        <f>AVERAGE(CA29:CB29)</f>
        <v>523</v>
      </c>
      <c r="EP29" s="80">
        <f>AVERAGE(CC29:CG29)</f>
        <v>453.33333333333331</v>
      </c>
      <c r="EQ29" s="81">
        <f>AVERAGE(CH29:CN29)</f>
        <v>459.5</v>
      </c>
      <c r="ER29" s="83">
        <f>AVERAGE(CO29:CU29)</f>
        <v>495.33333333333331</v>
      </c>
      <c r="ES29" s="83"/>
      <c r="ET29" s="82"/>
      <c r="EV29" s="84">
        <f>SUM(DH29:DL29)</f>
        <v>13042</v>
      </c>
      <c r="EW29" s="84">
        <f>SUM(DM29:DP29)</f>
        <v>11863</v>
      </c>
      <c r="EX29" s="84">
        <f>SUM(DQ29:DU29)</f>
        <v>13324</v>
      </c>
      <c r="EY29" s="85">
        <f>SUM(DV29:DZ29)</f>
        <v>9960</v>
      </c>
      <c r="FA29" s="84">
        <f>AVERAGE(EB29:EF29)</f>
        <v>628.56000000000006</v>
      </c>
      <c r="FB29" s="84">
        <f>AVERAGE(EG29:EJ29)</f>
        <v>635.33333333333337</v>
      </c>
      <c r="FC29" s="84">
        <f>AVERAGE(EK29:EO29)</f>
        <v>623.0200000000001</v>
      </c>
      <c r="FD29" s="85">
        <f>AVERAGE(EP29:ET29)</f>
        <v>469.38888888888886</v>
      </c>
    </row>
    <row r="30" spans="2:160">
      <c r="B30" s="230"/>
      <c r="C30" s="96" t="s">
        <v>133</v>
      </c>
      <c r="D30" s="97">
        <v>645</v>
      </c>
      <c r="E30" s="98">
        <v>645</v>
      </c>
      <c r="F30" s="99">
        <v>645</v>
      </c>
      <c r="G30" s="99">
        <v>600</v>
      </c>
      <c r="H30" s="99">
        <v>630</v>
      </c>
      <c r="I30" s="100">
        <v>450</v>
      </c>
      <c r="J30" s="98">
        <v>450</v>
      </c>
      <c r="K30" s="99">
        <v>660</v>
      </c>
      <c r="L30" s="99">
        <v>525</v>
      </c>
      <c r="M30" s="99">
        <v>600</v>
      </c>
      <c r="N30" s="100">
        <v>615</v>
      </c>
      <c r="O30" s="98">
        <v>555</v>
      </c>
      <c r="P30" s="99">
        <v>705</v>
      </c>
      <c r="Q30" s="99">
        <v>600</v>
      </c>
      <c r="R30" s="99">
        <v>540</v>
      </c>
      <c r="S30" s="100">
        <v>540</v>
      </c>
      <c r="T30" s="98">
        <v>645</v>
      </c>
      <c r="U30" s="99">
        <v>690</v>
      </c>
      <c r="V30" s="99">
        <v>705</v>
      </c>
      <c r="W30" s="99">
        <v>690</v>
      </c>
      <c r="X30" s="100">
        <v>615</v>
      </c>
      <c r="Y30" s="98">
        <v>750</v>
      </c>
      <c r="Z30" s="99">
        <v>675</v>
      </c>
      <c r="AA30" s="99">
        <v>675</v>
      </c>
      <c r="AB30" s="99">
        <v>675</v>
      </c>
      <c r="AC30" s="100">
        <v>660</v>
      </c>
      <c r="AD30" s="98">
        <v>690</v>
      </c>
      <c r="AE30" s="99">
        <v>645</v>
      </c>
      <c r="AF30" s="99">
        <v>630</v>
      </c>
      <c r="AG30" s="99">
        <v>645</v>
      </c>
      <c r="AH30" s="101">
        <v>660</v>
      </c>
      <c r="AI30" s="101">
        <v>270</v>
      </c>
      <c r="AJ30" s="100"/>
      <c r="AK30" s="98"/>
      <c r="AL30" s="99"/>
      <c r="AM30" s="99"/>
      <c r="AN30" s="99">
        <v>660</v>
      </c>
      <c r="AO30" s="101">
        <v>675</v>
      </c>
      <c r="AP30" s="101"/>
      <c r="AQ30" s="100"/>
      <c r="AR30" s="98">
        <v>690</v>
      </c>
      <c r="AS30" s="99">
        <v>675</v>
      </c>
      <c r="AT30" s="99">
        <v>690</v>
      </c>
      <c r="AU30" s="99">
        <v>690</v>
      </c>
      <c r="AV30" s="101">
        <v>690</v>
      </c>
      <c r="AW30" s="100">
        <v>0</v>
      </c>
      <c r="AX30" s="98"/>
      <c r="AY30" s="99"/>
      <c r="AZ30" s="99">
        <v>660</v>
      </c>
      <c r="BA30" s="99">
        <v>660</v>
      </c>
      <c r="BB30" s="101">
        <v>675</v>
      </c>
      <c r="BC30" s="101">
        <v>705</v>
      </c>
      <c r="BD30" s="101"/>
      <c r="BE30" s="100"/>
      <c r="BF30" s="98">
        <v>690</v>
      </c>
      <c r="BG30" s="99">
        <v>705</v>
      </c>
      <c r="BH30" s="99">
        <v>675</v>
      </c>
      <c r="BI30" s="99">
        <v>675</v>
      </c>
      <c r="BJ30" s="101">
        <v>615</v>
      </c>
      <c r="BK30" s="101"/>
      <c r="BL30" s="100"/>
      <c r="BM30" s="98">
        <v>675</v>
      </c>
      <c r="BN30" s="99">
        <v>690</v>
      </c>
      <c r="BO30" s="99">
        <v>705</v>
      </c>
      <c r="BP30" s="99">
        <v>660</v>
      </c>
      <c r="BQ30" s="101">
        <v>675</v>
      </c>
      <c r="BR30" s="101"/>
      <c r="BS30" s="100"/>
      <c r="BT30" s="98">
        <v>675</v>
      </c>
      <c r="BU30" s="99">
        <v>90</v>
      </c>
      <c r="BV30" s="99">
        <v>645</v>
      </c>
      <c r="BW30" s="99">
        <v>660</v>
      </c>
      <c r="BX30" s="101">
        <v>570</v>
      </c>
      <c r="BY30" s="101"/>
      <c r="BZ30" s="101"/>
      <c r="CA30" s="97">
        <v>495</v>
      </c>
      <c r="CB30" s="100">
        <v>465</v>
      </c>
      <c r="CC30" s="97">
        <v>375</v>
      </c>
      <c r="CD30" s="101">
        <v>465</v>
      </c>
      <c r="CE30" s="101">
        <v>465</v>
      </c>
      <c r="CF30" s="101"/>
      <c r="CG30" s="100"/>
      <c r="CH30" s="98"/>
      <c r="CI30" s="101">
        <v>540</v>
      </c>
      <c r="CJ30" s="99">
        <v>180</v>
      </c>
      <c r="CK30" s="99">
        <v>435</v>
      </c>
      <c r="CL30" s="101">
        <v>630</v>
      </c>
      <c r="CM30" s="101"/>
      <c r="CN30" s="100"/>
      <c r="CO30" s="98"/>
      <c r="CP30" s="99"/>
      <c r="CQ30" s="99">
        <v>540</v>
      </c>
      <c r="CR30" s="99">
        <v>405</v>
      </c>
      <c r="CS30" s="101">
        <v>450</v>
      </c>
      <c r="CT30" s="101"/>
      <c r="CU30" s="100"/>
      <c r="CV30" s="98">
        <v>525</v>
      </c>
      <c r="CW30" s="99">
        <v>540</v>
      </c>
      <c r="CX30" s="99">
        <v>540</v>
      </c>
      <c r="CY30" s="99">
        <v>600</v>
      </c>
      <c r="CZ30" s="101">
        <v>600</v>
      </c>
      <c r="DA30" s="101"/>
      <c r="DB30" s="100"/>
      <c r="DC30" s="98"/>
      <c r="DD30" s="99"/>
      <c r="DE30" s="99"/>
      <c r="DF30" s="99"/>
      <c r="DG30" s="71"/>
      <c r="DH30" s="98">
        <f>SUM(D30)</f>
        <v>645</v>
      </c>
      <c r="DI30" s="99">
        <f>SUM(E30:I30)</f>
        <v>2970</v>
      </c>
      <c r="DJ30" s="99">
        <f>SUM(J30:N30)</f>
        <v>2850</v>
      </c>
      <c r="DK30" s="101">
        <f>SUM(O30:S30)</f>
        <v>2940</v>
      </c>
      <c r="DL30" s="100">
        <f>SUM(T30:X30)</f>
        <v>3345</v>
      </c>
      <c r="DM30" s="98">
        <f>SUM(Y30:AC30)</f>
        <v>3435</v>
      </c>
      <c r="DN30" s="99">
        <f>SUM(AD30:AJ30)</f>
        <v>3540</v>
      </c>
      <c r="DO30" s="101">
        <f>SUM(AK30:AQ30)</f>
        <v>1335</v>
      </c>
      <c r="DP30" s="100">
        <f>SUM(AR30:AW30)</f>
        <v>3435</v>
      </c>
      <c r="DQ30" s="98">
        <f>SUM(AX30:BE30)</f>
        <v>2700</v>
      </c>
      <c r="DR30" s="99">
        <f>SUM(BF30:BL30)</f>
        <v>3360</v>
      </c>
      <c r="DS30" s="101">
        <f>SUM(BM30:BS30)</f>
        <v>3405</v>
      </c>
      <c r="DT30" s="101">
        <f>SUM(BT30:BZ30)</f>
        <v>2640</v>
      </c>
      <c r="DU30" s="100">
        <f>SUM(CA30:CB30)</f>
        <v>960</v>
      </c>
      <c r="DV30" s="98">
        <f>SUM(CC30:CG30)</f>
        <v>1305</v>
      </c>
      <c r="DW30" s="99">
        <f>SUM(CH30:CN30)</f>
        <v>1785</v>
      </c>
      <c r="DX30" s="101">
        <f>SUM(CO30:CU30)</f>
        <v>1395</v>
      </c>
      <c r="DY30" s="101">
        <f t="shared" si="51"/>
        <v>2805</v>
      </c>
      <c r="DZ30" s="100">
        <f t="shared" si="51"/>
        <v>2280</v>
      </c>
      <c r="EB30" s="98">
        <f>AVERAGE(D30)</f>
        <v>645</v>
      </c>
      <c r="EC30" s="99">
        <f>AVERAGE(E30:I30)</f>
        <v>594</v>
      </c>
      <c r="ED30" s="99">
        <f>AVERAGE(J30:N30)</f>
        <v>570</v>
      </c>
      <c r="EE30" s="101">
        <f>AVERAGE(O30:S30)</f>
        <v>588</v>
      </c>
      <c r="EF30" s="100">
        <f>AVERAGE(T30:X30)</f>
        <v>669</v>
      </c>
      <c r="EG30" s="98">
        <f>AVERAGE(Y30:AC30)</f>
        <v>687</v>
      </c>
      <c r="EH30" s="99">
        <f>AVERAGE(AD30:AJ30)</f>
        <v>590</v>
      </c>
      <c r="EI30" s="101">
        <f>AVERAGE(AK30:AQ30)</f>
        <v>667.5</v>
      </c>
      <c r="EJ30" s="100">
        <f>AVERAGE(AR30:AW30)</f>
        <v>572.5</v>
      </c>
      <c r="EK30" s="98">
        <f>AVERAGE(AX30:BE30)</f>
        <v>675</v>
      </c>
      <c r="EL30" s="99">
        <f>AVERAGE(BF30:BL30)</f>
        <v>672</v>
      </c>
      <c r="EM30" s="101">
        <f>AVERAGE(BM30:BS30)</f>
        <v>681</v>
      </c>
      <c r="EN30" s="101">
        <f>AVERAGE(BT30:BZ30)</f>
        <v>528</v>
      </c>
      <c r="EO30" s="100">
        <f>AVERAGE(CA30:CB30)</f>
        <v>480</v>
      </c>
      <c r="EP30" s="98">
        <f>AVERAGE(CC30:CG30)</f>
        <v>435</v>
      </c>
      <c r="EQ30" s="99">
        <f>AVERAGE(CH30:CN30)</f>
        <v>446.25</v>
      </c>
      <c r="ER30" s="101">
        <f>AVERAGE(CO30:CU30)</f>
        <v>465</v>
      </c>
      <c r="ES30" s="101"/>
      <c r="ET30" s="100"/>
      <c r="EV30" s="102">
        <f>SUM(DH30:DL30)</f>
        <v>12750</v>
      </c>
      <c r="EW30" s="102">
        <f>SUM(DM30:DP30)</f>
        <v>11745</v>
      </c>
      <c r="EX30" s="102">
        <f>SUM(DQ30:DU30)</f>
        <v>13065</v>
      </c>
      <c r="EY30" s="103">
        <f>SUM(DV30:DZ30)</f>
        <v>9570</v>
      </c>
      <c r="FA30" s="102">
        <f>AVERAGE(EB30:EF30)</f>
        <v>613.20000000000005</v>
      </c>
      <c r="FB30" s="102">
        <f>AVERAGE(EG30:EJ30)</f>
        <v>629.25</v>
      </c>
      <c r="FC30" s="102">
        <f>AVERAGE(EK30:EO30)</f>
        <v>607.20000000000005</v>
      </c>
      <c r="FD30" s="103">
        <f>AVERAGE(EP30:ET30)</f>
        <v>448.75</v>
      </c>
    </row>
    <row r="31" spans="2:160">
      <c r="B31" s="230"/>
      <c r="C31" s="96" t="s">
        <v>134</v>
      </c>
      <c r="D31" s="97">
        <v>33</v>
      </c>
      <c r="E31" s="98">
        <v>47</v>
      </c>
      <c r="F31" s="99">
        <v>27</v>
      </c>
      <c r="G31" s="99">
        <v>55</v>
      </c>
      <c r="H31" s="99">
        <v>27</v>
      </c>
      <c r="I31" s="100">
        <v>50</v>
      </c>
      <c r="J31" s="98">
        <v>50</v>
      </c>
      <c r="K31" s="99">
        <v>24</v>
      </c>
      <c r="L31" s="99">
        <v>31</v>
      </c>
      <c r="M31" s="99">
        <v>28</v>
      </c>
      <c r="N31" s="100">
        <v>33</v>
      </c>
      <c r="O31" s="98">
        <v>72</v>
      </c>
      <c r="P31" s="99">
        <v>32</v>
      </c>
      <c r="Q31" s="99">
        <v>88</v>
      </c>
      <c r="R31" s="99">
        <v>11</v>
      </c>
      <c r="S31" s="100">
        <v>22</v>
      </c>
      <c r="T31" s="98">
        <v>27</v>
      </c>
      <c r="U31" s="99">
        <v>17</v>
      </c>
      <c r="V31" s="99">
        <v>11</v>
      </c>
      <c r="W31" s="99">
        <v>33</v>
      </c>
      <c r="X31" s="100">
        <v>10</v>
      </c>
      <c r="Y31" s="98">
        <v>26</v>
      </c>
      <c r="Z31" s="99">
        <v>15</v>
      </c>
      <c r="AA31" s="99">
        <v>12</v>
      </c>
      <c r="AB31" s="99">
        <v>13</v>
      </c>
      <c r="AC31" s="100">
        <v>14</v>
      </c>
      <c r="AD31" s="98">
        <v>17</v>
      </c>
      <c r="AE31" s="99">
        <v>29</v>
      </c>
      <c r="AF31" s="99">
        <v>14</v>
      </c>
      <c r="AG31" s="99">
        <v>30</v>
      </c>
      <c r="AH31" s="101">
        <v>25</v>
      </c>
      <c r="AI31" s="101">
        <v>12</v>
      </c>
      <c r="AJ31" s="100"/>
      <c r="AK31" s="98"/>
      <c r="AL31" s="99"/>
      <c r="AM31" s="99"/>
      <c r="AN31" s="99">
        <v>22</v>
      </c>
      <c r="AO31" s="101">
        <v>12</v>
      </c>
      <c r="AP31" s="101"/>
      <c r="AQ31" s="100"/>
      <c r="AR31" s="98">
        <v>22</v>
      </c>
      <c r="AS31" s="99">
        <v>28</v>
      </c>
      <c r="AT31" s="99">
        <v>11</v>
      </c>
      <c r="AU31" s="99">
        <v>16</v>
      </c>
      <c r="AV31" s="101">
        <v>9</v>
      </c>
      <c r="AW31" s="100">
        <v>0</v>
      </c>
      <c r="AX31" s="98"/>
      <c r="AY31" s="99"/>
      <c r="AZ31" s="99">
        <v>19</v>
      </c>
      <c r="BA31" s="99">
        <v>23</v>
      </c>
      <c r="BB31" s="101">
        <v>26</v>
      </c>
      <c r="BC31" s="101">
        <v>9</v>
      </c>
      <c r="BD31" s="101"/>
      <c r="BE31" s="100"/>
      <c r="BF31" s="98">
        <v>17</v>
      </c>
      <c r="BG31" s="99">
        <v>17</v>
      </c>
      <c r="BH31" s="99">
        <v>19</v>
      </c>
      <c r="BI31" s="99">
        <v>14</v>
      </c>
      <c r="BJ31" s="101">
        <v>15</v>
      </c>
      <c r="BK31" s="101"/>
      <c r="BL31" s="100"/>
      <c r="BM31" s="98">
        <v>12</v>
      </c>
      <c r="BN31" s="99">
        <v>15</v>
      </c>
      <c r="BO31" s="99">
        <v>9</v>
      </c>
      <c r="BP31" s="99">
        <v>9</v>
      </c>
      <c r="BQ31" s="101">
        <v>12</v>
      </c>
      <c r="BR31" s="101"/>
      <c r="BS31" s="100"/>
      <c r="BT31" s="98">
        <v>11</v>
      </c>
      <c r="BU31" s="99">
        <v>6</v>
      </c>
      <c r="BV31" s="99">
        <v>7</v>
      </c>
      <c r="BW31" s="99">
        <v>12</v>
      </c>
      <c r="BX31" s="101">
        <v>61</v>
      </c>
      <c r="BY31" s="101"/>
      <c r="BZ31" s="101"/>
      <c r="CA31" s="97">
        <v>41</v>
      </c>
      <c r="CB31" s="100">
        <v>45</v>
      </c>
      <c r="CC31" s="97">
        <v>17</v>
      </c>
      <c r="CD31" s="101">
        <v>68</v>
      </c>
      <c r="CE31" s="101">
        <v>38</v>
      </c>
      <c r="CF31" s="101"/>
      <c r="CG31" s="100"/>
      <c r="CH31" s="98"/>
      <c r="CI31" s="101">
        <v>20</v>
      </c>
      <c r="CJ31" s="99">
        <v>25</v>
      </c>
      <c r="CK31" s="99">
        <v>1</v>
      </c>
      <c r="CL31" s="101">
        <v>7</v>
      </c>
      <c r="CM31" s="101"/>
      <c r="CN31" s="100"/>
      <c r="CO31" s="98"/>
      <c r="CP31" s="99"/>
      <c r="CQ31" s="99">
        <v>35</v>
      </c>
      <c r="CR31" s="99">
        <v>26</v>
      </c>
      <c r="CS31" s="101">
        <v>30</v>
      </c>
      <c r="CT31" s="101"/>
      <c r="CU31" s="100"/>
      <c r="CV31" s="98">
        <v>47</v>
      </c>
      <c r="CW31" s="99">
        <v>25</v>
      </c>
      <c r="CX31" s="99">
        <v>22</v>
      </c>
      <c r="CY31" s="99">
        <v>13</v>
      </c>
      <c r="CZ31" s="101">
        <v>12</v>
      </c>
      <c r="DA31" s="101"/>
      <c r="DB31" s="100"/>
      <c r="DC31" s="98"/>
      <c r="DD31" s="99"/>
      <c r="DE31" s="99"/>
      <c r="DF31" s="99"/>
      <c r="DG31" s="71"/>
      <c r="DH31" s="98">
        <f>SUM(D31)</f>
        <v>33</v>
      </c>
      <c r="DI31" s="99">
        <f>SUM(E31:I31)</f>
        <v>206</v>
      </c>
      <c r="DJ31" s="99">
        <f>SUM(J31:N31)</f>
        <v>166</v>
      </c>
      <c r="DK31" s="101">
        <f>SUM(O31:S31)</f>
        <v>225</v>
      </c>
      <c r="DL31" s="100">
        <f>SUM(T31:X31)</f>
        <v>98</v>
      </c>
      <c r="DM31" s="98">
        <f>SUM(Y31:AC31)</f>
        <v>80</v>
      </c>
      <c r="DN31" s="99">
        <f>SUM(AD31:AJ31)</f>
        <v>127</v>
      </c>
      <c r="DO31" s="101">
        <f>SUM(AK31:AQ31)</f>
        <v>34</v>
      </c>
      <c r="DP31" s="100">
        <f>SUM(AR31:AW31)</f>
        <v>86</v>
      </c>
      <c r="DQ31" s="98">
        <f>SUM(AX31:BE31)</f>
        <v>77</v>
      </c>
      <c r="DR31" s="99">
        <f>SUM(BF31:BL31)</f>
        <v>82</v>
      </c>
      <c r="DS31" s="101">
        <f>SUM(BM31:BS31)</f>
        <v>57</v>
      </c>
      <c r="DT31" s="101">
        <f>SUM(BT31:BZ31)</f>
        <v>97</v>
      </c>
      <c r="DU31" s="100">
        <f>SUM(CA31:CB31)</f>
        <v>86</v>
      </c>
      <c r="DV31" s="98">
        <f>SUM(CC31:CG31)</f>
        <v>123</v>
      </c>
      <c r="DW31" s="99">
        <f>SUM(CH31:CN31)</f>
        <v>53</v>
      </c>
      <c r="DX31" s="101">
        <f>SUM(CO31:CU31)</f>
        <v>91</v>
      </c>
      <c r="DY31" s="101">
        <f t="shared" si="51"/>
        <v>119</v>
      </c>
      <c r="DZ31" s="100">
        <f t="shared" si="51"/>
        <v>72</v>
      </c>
      <c r="EB31" s="98">
        <f>AVERAGE(D31)</f>
        <v>33</v>
      </c>
      <c r="EC31" s="99">
        <f>AVERAGE(E31:I31)</f>
        <v>41.2</v>
      </c>
      <c r="ED31" s="99">
        <f>AVERAGE(J31:N31)</f>
        <v>33.200000000000003</v>
      </c>
      <c r="EE31" s="101">
        <f>AVERAGE(O31:S31)</f>
        <v>45</v>
      </c>
      <c r="EF31" s="100">
        <f>AVERAGE(T31:X31)</f>
        <v>19.600000000000001</v>
      </c>
      <c r="EG31" s="98">
        <f>AVERAGE(Y31:AC31)</f>
        <v>16</v>
      </c>
      <c r="EH31" s="99">
        <f>AVERAGE(AD31:AJ31)</f>
        <v>21.166666666666668</v>
      </c>
      <c r="EI31" s="101">
        <f>AVERAGE(AK31:AQ31)</f>
        <v>17</v>
      </c>
      <c r="EJ31" s="100">
        <f>AVERAGE(AR31:AW31)</f>
        <v>14.333333333333334</v>
      </c>
      <c r="EK31" s="98">
        <f>AVERAGE(AX31:BE31)</f>
        <v>19.25</v>
      </c>
      <c r="EL31" s="99">
        <f>AVERAGE(BF31:BL31)</f>
        <v>16.399999999999999</v>
      </c>
      <c r="EM31" s="101">
        <f>AVERAGE(BM31:BS31)</f>
        <v>11.4</v>
      </c>
      <c r="EN31" s="101">
        <f>AVERAGE(BT31:BZ31)</f>
        <v>19.399999999999999</v>
      </c>
      <c r="EO31" s="100">
        <f>AVERAGE(CA31:CB31)</f>
        <v>43</v>
      </c>
      <c r="EP31" s="98">
        <f>AVERAGE(CC31:CG31)</f>
        <v>41</v>
      </c>
      <c r="EQ31" s="99">
        <f>AVERAGE(CH31:CN31)</f>
        <v>13.25</v>
      </c>
      <c r="ER31" s="101">
        <f>AVERAGE(CO31:CU31)</f>
        <v>30.333333333333332</v>
      </c>
      <c r="ES31" s="101"/>
      <c r="ET31" s="100"/>
      <c r="EV31" s="102">
        <f>SUM(DH31:DL31)</f>
        <v>728</v>
      </c>
      <c r="EW31" s="102">
        <f>SUM(DM31:DP31)</f>
        <v>327</v>
      </c>
      <c r="EX31" s="102">
        <f>SUM(DQ31:DU31)</f>
        <v>399</v>
      </c>
      <c r="EY31" s="103">
        <f>SUM(DV31:DZ31)</f>
        <v>458</v>
      </c>
      <c r="FA31" s="102">
        <f>AVERAGE(EB31:EF31)</f>
        <v>34.4</v>
      </c>
      <c r="FB31" s="102">
        <f>AVERAGE(EG31:EJ31)</f>
        <v>17.125</v>
      </c>
      <c r="FC31" s="102">
        <f>AVERAGE(EK31:EO31)</f>
        <v>21.889999999999997</v>
      </c>
      <c r="FD31" s="103">
        <f>AVERAGE(EP31:ET31)</f>
        <v>28.194444444444443</v>
      </c>
    </row>
    <row r="32" spans="2:160">
      <c r="B32" s="230"/>
      <c r="C32" s="96" t="s">
        <v>135</v>
      </c>
      <c r="D32" s="97">
        <v>23</v>
      </c>
      <c r="E32" s="98">
        <v>19</v>
      </c>
      <c r="F32" s="99">
        <v>12</v>
      </c>
      <c r="G32" s="99">
        <v>30</v>
      </c>
      <c r="H32" s="99">
        <v>13</v>
      </c>
      <c r="I32" s="100">
        <v>36</v>
      </c>
      <c r="J32" s="98">
        <v>36</v>
      </c>
      <c r="K32" s="99">
        <v>3</v>
      </c>
      <c r="L32" s="99">
        <v>11</v>
      </c>
      <c r="M32" s="99">
        <v>16</v>
      </c>
      <c r="N32" s="100">
        <v>23</v>
      </c>
      <c r="O32" s="98">
        <v>5</v>
      </c>
      <c r="P32" s="99">
        <v>10</v>
      </c>
      <c r="Q32" s="99">
        <v>7</v>
      </c>
      <c r="R32" s="99">
        <v>3</v>
      </c>
      <c r="S32" s="100">
        <v>9</v>
      </c>
      <c r="T32" s="98">
        <v>3</v>
      </c>
      <c r="U32" s="99">
        <v>7</v>
      </c>
      <c r="V32" s="99">
        <v>6</v>
      </c>
      <c r="W32" s="99">
        <v>10</v>
      </c>
      <c r="X32" s="100">
        <v>10</v>
      </c>
      <c r="Y32" s="98">
        <v>14</v>
      </c>
      <c r="Z32" s="99">
        <v>8</v>
      </c>
      <c r="AA32" s="99">
        <v>8</v>
      </c>
      <c r="AB32" s="99">
        <v>6</v>
      </c>
      <c r="AC32" s="100">
        <v>4</v>
      </c>
      <c r="AD32" s="98">
        <v>9</v>
      </c>
      <c r="AE32" s="99">
        <v>10</v>
      </c>
      <c r="AF32" s="99">
        <v>4</v>
      </c>
      <c r="AG32" s="99">
        <v>13</v>
      </c>
      <c r="AH32" s="101">
        <v>13</v>
      </c>
      <c r="AI32" s="101">
        <v>8</v>
      </c>
      <c r="AJ32" s="100"/>
      <c r="AK32" s="98"/>
      <c r="AL32" s="99"/>
      <c r="AM32" s="99"/>
      <c r="AN32" s="99">
        <v>6</v>
      </c>
      <c r="AO32" s="101">
        <v>4</v>
      </c>
      <c r="AP32" s="101"/>
      <c r="AQ32" s="100"/>
      <c r="AR32" s="98">
        <v>2</v>
      </c>
      <c r="AS32" s="99">
        <v>2</v>
      </c>
      <c r="AT32" s="99">
        <v>1</v>
      </c>
      <c r="AU32" s="99">
        <v>6</v>
      </c>
      <c r="AV32" s="101">
        <v>0</v>
      </c>
      <c r="AW32" s="100">
        <v>0</v>
      </c>
      <c r="AX32" s="98"/>
      <c r="AY32" s="99"/>
      <c r="AZ32" s="99">
        <v>2</v>
      </c>
      <c r="BA32" s="99">
        <v>14</v>
      </c>
      <c r="BB32" s="101">
        <v>11</v>
      </c>
      <c r="BC32" s="101">
        <v>3</v>
      </c>
      <c r="BD32" s="101"/>
      <c r="BE32" s="100"/>
      <c r="BF32" s="98">
        <v>1</v>
      </c>
      <c r="BG32" s="99">
        <v>3</v>
      </c>
      <c r="BH32" s="99">
        <v>5</v>
      </c>
      <c r="BI32" s="99">
        <v>0</v>
      </c>
      <c r="BJ32" s="101">
        <v>0</v>
      </c>
      <c r="BK32" s="101"/>
      <c r="BL32" s="100"/>
      <c r="BM32" s="98">
        <v>5</v>
      </c>
      <c r="BN32" s="99">
        <v>10</v>
      </c>
      <c r="BO32" s="99">
        <v>5</v>
      </c>
      <c r="BP32" s="99">
        <v>6</v>
      </c>
      <c r="BQ32" s="101">
        <v>12</v>
      </c>
      <c r="BR32" s="101"/>
      <c r="BS32" s="100"/>
      <c r="BT32" s="98">
        <v>10</v>
      </c>
      <c r="BU32" s="99">
        <v>6</v>
      </c>
      <c r="BV32" s="99">
        <v>4</v>
      </c>
      <c r="BW32" s="99">
        <v>12</v>
      </c>
      <c r="BX32" s="101">
        <v>61</v>
      </c>
      <c r="BY32" s="101"/>
      <c r="BZ32" s="101"/>
      <c r="CA32" s="97">
        <v>22</v>
      </c>
      <c r="CB32" s="100">
        <v>27</v>
      </c>
      <c r="CC32" s="97">
        <v>17</v>
      </c>
      <c r="CD32" s="101">
        <v>10</v>
      </c>
      <c r="CE32" s="101">
        <v>28</v>
      </c>
      <c r="CF32" s="101"/>
      <c r="CG32" s="100"/>
      <c r="CH32" s="98"/>
      <c r="CI32" s="101">
        <v>20</v>
      </c>
      <c r="CJ32" s="99">
        <v>25</v>
      </c>
      <c r="CK32" s="99">
        <v>1</v>
      </c>
      <c r="CL32" s="101">
        <v>7</v>
      </c>
      <c r="CM32" s="101"/>
      <c r="CN32" s="100"/>
      <c r="CO32" s="98"/>
      <c r="CP32" s="99"/>
      <c r="CQ32" s="99">
        <v>35</v>
      </c>
      <c r="CR32" s="99">
        <v>26</v>
      </c>
      <c r="CS32" s="101">
        <v>30</v>
      </c>
      <c r="CT32" s="101"/>
      <c r="CU32" s="100"/>
      <c r="CV32" s="98">
        <v>47</v>
      </c>
      <c r="CW32" s="99">
        <v>25</v>
      </c>
      <c r="CX32" s="99">
        <v>21</v>
      </c>
      <c r="CY32" s="99">
        <v>13</v>
      </c>
      <c r="CZ32" s="101">
        <v>12</v>
      </c>
      <c r="DA32" s="101"/>
      <c r="DB32" s="100"/>
      <c r="DC32" s="98"/>
      <c r="DD32" s="99"/>
      <c r="DE32" s="99"/>
      <c r="DF32" s="99"/>
      <c r="DG32" s="71"/>
      <c r="DH32" s="98">
        <f>SUM(D32)</f>
        <v>23</v>
      </c>
      <c r="DI32" s="99">
        <f>SUM(E32:I32)</f>
        <v>110</v>
      </c>
      <c r="DJ32" s="99">
        <f>SUM(J32:N32)</f>
        <v>89</v>
      </c>
      <c r="DK32" s="101">
        <f>SUM(O32:S32)</f>
        <v>34</v>
      </c>
      <c r="DL32" s="100">
        <f>SUM(T32:X32)</f>
        <v>36</v>
      </c>
      <c r="DM32" s="98">
        <f>SUM(Y32:AC32)</f>
        <v>40</v>
      </c>
      <c r="DN32" s="99">
        <f>SUM(AD32:AJ32)</f>
        <v>57</v>
      </c>
      <c r="DO32" s="101">
        <f>SUM(AK32:AQ32)</f>
        <v>10</v>
      </c>
      <c r="DP32" s="100">
        <f>SUM(AR32:AW32)</f>
        <v>11</v>
      </c>
      <c r="DQ32" s="98">
        <f>SUM(AX32:BE32)</f>
        <v>30</v>
      </c>
      <c r="DR32" s="99">
        <f>SUM(BF32:BL32)</f>
        <v>9</v>
      </c>
      <c r="DS32" s="101">
        <f>SUM(BM32:BS32)</f>
        <v>38</v>
      </c>
      <c r="DT32" s="101">
        <f>SUM(BT32:BZ32)</f>
        <v>93</v>
      </c>
      <c r="DU32" s="100">
        <f>SUM(CA32:CB32)</f>
        <v>49</v>
      </c>
      <c r="DV32" s="98">
        <f>SUM(CC32:CG32)</f>
        <v>55</v>
      </c>
      <c r="DW32" s="99">
        <f>SUM(CH32:CN32)</f>
        <v>53</v>
      </c>
      <c r="DX32" s="101">
        <f>SUM(CO32:CU32)</f>
        <v>91</v>
      </c>
      <c r="DY32" s="101">
        <f t="shared" si="51"/>
        <v>118</v>
      </c>
      <c r="DZ32" s="100">
        <f t="shared" si="51"/>
        <v>71</v>
      </c>
      <c r="EB32" s="98">
        <f>AVERAGE(D32)</f>
        <v>23</v>
      </c>
      <c r="EC32" s="99">
        <f>AVERAGE(E32:I32)</f>
        <v>22</v>
      </c>
      <c r="ED32" s="99">
        <f>AVERAGE(J32:N32)</f>
        <v>17.8</v>
      </c>
      <c r="EE32" s="101">
        <f>AVERAGE(O32:S32)</f>
        <v>6.8</v>
      </c>
      <c r="EF32" s="100">
        <f>AVERAGE(T32:X32)</f>
        <v>7.2</v>
      </c>
      <c r="EG32" s="98">
        <f>AVERAGE(Y32:AC32)</f>
        <v>8</v>
      </c>
      <c r="EH32" s="99">
        <f>AVERAGE(AD32:AJ32)</f>
        <v>9.5</v>
      </c>
      <c r="EI32" s="101">
        <f>AVERAGE(AK32:AQ32)</f>
        <v>5</v>
      </c>
      <c r="EJ32" s="100">
        <f>AVERAGE(AR32:AW32)</f>
        <v>1.8333333333333333</v>
      </c>
      <c r="EK32" s="98">
        <f>AVERAGE(AX32:BE32)</f>
        <v>7.5</v>
      </c>
      <c r="EL32" s="99">
        <f>AVERAGE(BF32:BL32)</f>
        <v>1.8</v>
      </c>
      <c r="EM32" s="101">
        <f>AVERAGE(BM32:BS32)</f>
        <v>7.6</v>
      </c>
      <c r="EN32" s="101">
        <f>AVERAGE(BT32:BZ32)</f>
        <v>18.600000000000001</v>
      </c>
      <c r="EO32" s="100">
        <f>AVERAGE(CA32:CB32)</f>
        <v>24.5</v>
      </c>
      <c r="EP32" s="98">
        <f>AVERAGE(CC32:CG32)</f>
        <v>18.333333333333332</v>
      </c>
      <c r="EQ32" s="99">
        <f>AVERAGE(CH32:CN32)</f>
        <v>13.25</v>
      </c>
      <c r="ER32" s="101">
        <f>AVERAGE(CO32:CU32)</f>
        <v>30.333333333333332</v>
      </c>
      <c r="ES32" s="101"/>
      <c r="ET32" s="100"/>
      <c r="EV32" s="102">
        <f>SUM(DH32:DL32)</f>
        <v>292</v>
      </c>
      <c r="EW32" s="102">
        <f>SUM(DM32:DP32)</f>
        <v>118</v>
      </c>
      <c r="EX32" s="102">
        <f>SUM(DQ32:DU32)</f>
        <v>219</v>
      </c>
      <c r="EY32" s="103">
        <f>SUM(DV32:DZ32)</f>
        <v>388</v>
      </c>
      <c r="FA32" s="102">
        <f>AVERAGE(EB32:EF32)</f>
        <v>15.36</v>
      </c>
      <c r="FB32" s="102">
        <f>AVERAGE(EG32:EJ32)</f>
        <v>6.083333333333333</v>
      </c>
      <c r="FC32" s="102">
        <f>AVERAGE(EK32:EO32)</f>
        <v>12</v>
      </c>
      <c r="FD32" s="103">
        <f>AVERAGE(EP32:ET32)</f>
        <v>20.638888888888889</v>
      </c>
    </row>
    <row r="33" spans="2:160">
      <c r="B33" s="230"/>
      <c r="C33" s="104" t="s">
        <v>136</v>
      </c>
      <c r="D33" s="105">
        <f t="shared" ref="D33:AI33" si="52">IFERROR(D31/D29,"")</f>
        <v>4.940119760479042E-2</v>
      </c>
      <c r="E33" s="106">
        <f t="shared" si="52"/>
        <v>7.0783132530120488E-2</v>
      </c>
      <c r="F33" s="107">
        <f t="shared" si="52"/>
        <v>4.1095890410958902E-2</v>
      </c>
      <c r="G33" s="107">
        <f t="shared" si="52"/>
        <v>8.7301587301587297E-2</v>
      </c>
      <c r="H33" s="107">
        <f t="shared" si="52"/>
        <v>4.1990668740279936E-2</v>
      </c>
      <c r="I33" s="104">
        <f t="shared" si="52"/>
        <v>0.102880658436214</v>
      </c>
      <c r="J33" s="106">
        <f t="shared" si="52"/>
        <v>0.102880658436214</v>
      </c>
      <c r="K33" s="107">
        <f t="shared" si="52"/>
        <v>3.6199095022624438E-2</v>
      </c>
      <c r="L33" s="107">
        <f t="shared" si="52"/>
        <v>5.7835820895522388E-2</v>
      </c>
      <c r="M33" s="107">
        <f t="shared" si="52"/>
        <v>4.5454545454545456E-2</v>
      </c>
      <c r="N33" s="104">
        <f t="shared" si="52"/>
        <v>5.1724137931034482E-2</v>
      </c>
      <c r="O33" s="106">
        <f t="shared" si="52"/>
        <v>0.12857142857142856</v>
      </c>
      <c r="P33" s="107">
        <f t="shared" si="52"/>
        <v>4.4755244755244755E-2</v>
      </c>
      <c r="Q33" s="107">
        <f t="shared" si="52"/>
        <v>0.14497528830313014</v>
      </c>
      <c r="R33" s="107">
        <f t="shared" si="52"/>
        <v>2.0257826887661142E-2</v>
      </c>
      <c r="S33" s="104">
        <f t="shared" si="52"/>
        <v>4.0072859744990891E-2</v>
      </c>
      <c r="T33" s="106">
        <f t="shared" si="52"/>
        <v>4.1666666666666664E-2</v>
      </c>
      <c r="U33" s="107">
        <f t="shared" si="52"/>
        <v>2.4390243902439025E-2</v>
      </c>
      <c r="V33" s="107">
        <f t="shared" si="52"/>
        <v>1.5471167369901548E-2</v>
      </c>
      <c r="W33" s="107">
        <f t="shared" si="52"/>
        <v>4.7142857142857146E-2</v>
      </c>
      <c r="X33" s="104">
        <f t="shared" si="52"/>
        <v>1.6E-2</v>
      </c>
      <c r="Y33" s="108">
        <f t="shared" si="52"/>
        <v>3.4031413612565446E-2</v>
      </c>
      <c r="Z33" s="109">
        <f t="shared" si="52"/>
        <v>2.1961932650073207E-2</v>
      </c>
      <c r="AA33" s="109">
        <f t="shared" si="52"/>
        <v>1.7569546120058566E-2</v>
      </c>
      <c r="AB33" s="109">
        <f t="shared" si="52"/>
        <v>1.908957415565345E-2</v>
      </c>
      <c r="AC33" s="110">
        <f t="shared" si="52"/>
        <v>2.1084337349397589E-2</v>
      </c>
      <c r="AD33" s="108">
        <f t="shared" si="52"/>
        <v>2.4320457796852647E-2</v>
      </c>
      <c r="AE33" s="109">
        <f t="shared" si="52"/>
        <v>4.4274809160305344E-2</v>
      </c>
      <c r="AF33" s="109">
        <f t="shared" si="52"/>
        <v>2.2082018927444796E-2</v>
      </c>
      <c r="AG33" s="109">
        <f t="shared" si="52"/>
        <v>4.5592705167173252E-2</v>
      </c>
      <c r="AH33" s="111">
        <f t="shared" si="52"/>
        <v>3.7147102526002972E-2</v>
      </c>
      <c r="AI33" s="111">
        <f t="shared" si="52"/>
        <v>4.3165467625899283E-2</v>
      </c>
      <c r="AJ33" s="110" t="str">
        <f t="shared" ref="AJ33:BO33" si="53">IFERROR(AJ31/AJ29,"")</f>
        <v/>
      </c>
      <c r="AK33" s="108" t="str">
        <f t="shared" si="53"/>
        <v/>
      </c>
      <c r="AL33" s="109" t="str">
        <f t="shared" si="53"/>
        <v/>
      </c>
      <c r="AM33" s="109" t="str">
        <f t="shared" si="53"/>
        <v/>
      </c>
      <c r="AN33" s="109">
        <f t="shared" si="53"/>
        <v>3.3033033033033031E-2</v>
      </c>
      <c r="AO33" s="111">
        <f t="shared" si="53"/>
        <v>1.7673048600883652E-2</v>
      </c>
      <c r="AP33" s="111" t="str">
        <f t="shared" si="53"/>
        <v/>
      </c>
      <c r="AQ33" s="110" t="str">
        <f t="shared" si="53"/>
        <v/>
      </c>
      <c r="AR33" s="108">
        <f t="shared" si="53"/>
        <v>3.1791907514450865E-2</v>
      </c>
      <c r="AS33" s="109">
        <f t="shared" si="53"/>
        <v>4.1358936484490398E-2</v>
      </c>
      <c r="AT33" s="109">
        <f t="shared" si="53"/>
        <v>1.5918958031837915E-2</v>
      </c>
      <c r="AU33" s="109">
        <f t="shared" si="53"/>
        <v>2.2988505747126436E-2</v>
      </c>
      <c r="AV33" s="111">
        <f t="shared" si="53"/>
        <v>1.3043478260869565E-2</v>
      </c>
      <c r="AW33" s="110" t="str">
        <f t="shared" si="53"/>
        <v/>
      </c>
      <c r="AX33" s="108" t="str">
        <f t="shared" si="53"/>
        <v/>
      </c>
      <c r="AY33" s="109" t="str">
        <f t="shared" si="53"/>
        <v/>
      </c>
      <c r="AZ33" s="109">
        <f t="shared" si="53"/>
        <v>2.8700906344410877E-2</v>
      </c>
      <c r="BA33" s="109">
        <f t="shared" si="53"/>
        <v>3.4124629080118693E-2</v>
      </c>
      <c r="BB33" s="111">
        <f t="shared" si="53"/>
        <v>3.7900874635568516E-2</v>
      </c>
      <c r="BC33" s="111">
        <f t="shared" si="53"/>
        <v>1.2711864406779662E-2</v>
      </c>
      <c r="BD33" s="111" t="str">
        <f t="shared" si="53"/>
        <v/>
      </c>
      <c r="BE33" s="110" t="str">
        <f t="shared" si="53"/>
        <v/>
      </c>
      <c r="BF33" s="108">
        <f t="shared" si="53"/>
        <v>2.4602026049204053E-2</v>
      </c>
      <c r="BG33" s="109">
        <f t="shared" si="53"/>
        <v>2.4011299435028249E-2</v>
      </c>
      <c r="BH33" s="109">
        <f t="shared" si="53"/>
        <v>2.7941176470588237E-2</v>
      </c>
      <c r="BI33" s="109">
        <f t="shared" si="53"/>
        <v>2.074074074074074E-2</v>
      </c>
      <c r="BJ33" s="111">
        <f t="shared" si="53"/>
        <v>2.4390243902439025E-2</v>
      </c>
      <c r="BK33" s="111" t="str">
        <f t="shared" si="53"/>
        <v/>
      </c>
      <c r="BL33" s="110" t="str">
        <f t="shared" si="53"/>
        <v/>
      </c>
      <c r="BM33" s="108">
        <f t="shared" si="53"/>
        <v>1.7647058823529412E-2</v>
      </c>
      <c r="BN33" s="109">
        <f t="shared" si="53"/>
        <v>2.1428571428571429E-2</v>
      </c>
      <c r="BO33" s="109">
        <f t="shared" si="53"/>
        <v>1.2676056338028169E-2</v>
      </c>
      <c r="BP33" s="109">
        <f t="shared" ref="BP33:CU33" si="54">IFERROR(BP31/BP29,"")</f>
        <v>1.3513513513513514E-2</v>
      </c>
      <c r="BQ33" s="111">
        <f t="shared" si="54"/>
        <v>1.7467248908296942E-2</v>
      </c>
      <c r="BR33" s="111" t="str">
        <f t="shared" si="54"/>
        <v/>
      </c>
      <c r="BS33" s="110" t="str">
        <f t="shared" si="54"/>
        <v/>
      </c>
      <c r="BT33" s="108">
        <f t="shared" si="54"/>
        <v>1.6058394160583942E-2</v>
      </c>
      <c r="BU33" s="109">
        <f t="shared" si="54"/>
        <v>6.25E-2</v>
      </c>
      <c r="BV33" s="109">
        <f t="shared" si="54"/>
        <v>1.0736196319018405E-2</v>
      </c>
      <c r="BW33" s="109">
        <f t="shared" si="54"/>
        <v>1.7857142857142856E-2</v>
      </c>
      <c r="BX33" s="111">
        <f t="shared" si="54"/>
        <v>9.6671949286846276E-2</v>
      </c>
      <c r="BY33" s="111" t="str">
        <f t="shared" si="54"/>
        <v/>
      </c>
      <c r="BZ33" s="111" t="str">
        <f t="shared" si="54"/>
        <v/>
      </c>
      <c r="CA33" s="112">
        <f t="shared" si="54"/>
        <v>7.6492537313432835E-2</v>
      </c>
      <c r="CB33" s="110">
        <f t="shared" si="54"/>
        <v>8.8235294117647065E-2</v>
      </c>
      <c r="CC33" s="112">
        <f t="shared" si="54"/>
        <v>4.336734693877551E-2</v>
      </c>
      <c r="CD33" s="111">
        <f t="shared" si="54"/>
        <v>0.1431578947368421</v>
      </c>
      <c r="CE33" s="111">
        <f t="shared" si="54"/>
        <v>7.7079107505070993E-2</v>
      </c>
      <c r="CF33" s="111" t="str">
        <f t="shared" si="54"/>
        <v/>
      </c>
      <c r="CG33" s="110" t="str">
        <f t="shared" si="54"/>
        <v/>
      </c>
      <c r="CH33" s="108" t="str">
        <f t="shared" si="54"/>
        <v/>
      </c>
      <c r="CI33" s="109">
        <f t="shared" si="54"/>
        <v>3.5714285714285712E-2</v>
      </c>
      <c r="CJ33" s="109">
        <f t="shared" si="54"/>
        <v>0.12195121951219512</v>
      </c>
      <c r="CK33" s="109">
        <f t="shared" si="54"/>
        <v>2.2935779816513763E-3</v>
      </c>
      <c r="CL33" s="111">
        <f t="shared" si="54"/>
        <v>1.098901098901099E-2</v>
      </c>
      <c r="CM33" s="111" t="str">
        <f t="shared" si="54"/>
        <v/>
      </c>
      <c r="CN33" s="110" t="str">
        <f t="shared" si="54"/>
        <v/>
      </c>
      <c r="CO33" s="108" t="str">
        <f t="shared" si="54"/>
        <v/>
      </c>
      <c r="CP33" s="109" t="str">
        <f t="shared" si="54"/>
        <v/>
      </c>
      <c r="CQ33" s="109">
        <f t="shared" si="54"/>
        <v>6.0869565217391307E-2</v>
      </c>
      <c r="CR33" s="109">
        <f t="shared" si="54"/>
        <v>6.0324825986078884E-2</v>
      </c>
      <c r="CS33" s="111">
        <f t="shared" si="54"/>
        <v>6.25E-2</v>
      </c>
      <c r="CT33" s="111" t="str">
        <f t="shared" si="54"/>
        <v/>
      </c>
      <c r="CU33" s="110" t="str">
        <f t="shared" si="54"/>
        <v/>
      </c>
      <c r="CV33" s="108">
        <f t="shared" ref="CV33:DF33" si="55">IFERROR(CV31/CV29,"")</f>
        <v>8.2167832167832161E-2</v>
      </c>
      <c r="CW33" s="109">
        <f t="shared" si="55"/>
        <v>4.4247787610619468E-2</v>
      </c>
      <c r="CX33" s="109">
        <f t="shared" si="55"/>
        <v>3.9145907473309607E-2</v>
      </c>
      <c r="CY33" s="109">
        <f t="shared" si="55"/>
        <v>2.1207177814029365E-2</v>
      </c>
      <c r="CZ33" s="111">
        <f t="shared" si="55"/>
        <v>1.9607843137254902E-2</v>
      </c>
      <c r="DA33" s="111" t="str">
        <f t="shared" si="55"/>
        <v/>
      </c>
      <c r="DB33" s="110" t="str">
        <f t="shared" si="55"/>
        <v/>
      </c>
      <c r="DC33" s="108" t="str">
        <f t="shared" si="55"/>
        <v/>
      </c>
      <c r="DD33" s="109" t="str">
        <f t="shared" si="55"/>
        <v/>
      </c>
      <c r="DE33" s="109" t="str">
        <f t="shared" si="55"/>
        <v/>
      </c>
      <c r="DF33" s="109" t="str">
        <f t="shared" si="55"/>
        <v/>
      </c>
      <c r="DG33" s="113"/>
      <c r="DH33" s="108">
        <f t="shared" ref="DH33:DZ33" si="56">IFERROR(DH31/DH29,"")</f>
        <v>4.940119760479042E-2</v>
      </c>
      <c r="DI33" s="109">
        <f t="shared" si="56"/>
        <v>6.6883116883116878E-2</v>
      </c>
      <c r="DJ33" s="109">
        <f t="shared" si="56"/>
        <v>5.6481796529431777E-2</v>
      </c>
      <c r="DK33" s="109">
        <f t="shared" si="56"/>
        <v>7.5655682582380632E-2</v>
      </c>
      <c r="DL33" s="110">
        <f t="shared" si="56"/>
        <v>2.8985507246376812E-2</v>
      </c>
      <c r="DM33" s="108">
        <f t="shared" si="56"/>
        <v>2.302158273381295E-2</v>
      </c>
      <c r="DN33" s="109">
        <f t="shared" si="56"/>
        <v>3.5307200444815126E-2</v>
      </c>
      <c r="DO33" s="109">
        <f t="shared" si="56"/>
        <v>2.5278810408921933E-2</v>
      </c>
      <c r="DP33" s="110">
        <f t="shared" si="56"/>
        <v>2.4956471271038887E-2</v>
      </c>
      <c r="DQ33" s="108">
        <f t="shared" si="56"/>
        <v>2.8205128205128206E-2</v>
      </c>
      <c r="DR33" s="109">
        <f t="shared" si="56"/>
        <v>2.4339566636984267E-2</v>
      </c>
      <c r="DS33" s="109">
        <f t="shared" si="56"/>
        <v>1.6555329654371186E-2</v>
      </c>
      <c r="DT33" s="109">
        <f t="shared" si="56"/>
        <v>3.5453216374269007E-2</v>
      </c>
      <c r="DU33" s="110">
        <f t="shared" si="56"/>
        <v>8.2217973231357558E-2</v>
      </c>
      <c r="DV33" s="108">
        <f t="shared" si="56"/>
        <v>9.0441176470588233E-2</v>
      </c>
      <c r="DW33" s="109">
        <f t="shared" si="56"/>
        <v>2.8835690968443961E-2</v>
      </c>
      <c r="DX33" s="109">
        <f t="shared" si="56"/>
        <v>6.1238223418573351E-2</v>
      </c>
      <c r="DY33" s="109">
        <f t="shared" si="56"/>
        <v>4.0697674418604654E-2</v>
      </c>
      <c r="DZ33" s="110">
        <f t="shared" si="56"/>
        <v>3.0612244897959183E-2</v>
      </c>
      <c r="EA33" s="114"/>
      <c r="EB33" s="108">
        <f t="shared" ref="EB33:ET33" si="57">IFERROR(EB31/EB29,"")</f>
        <v>4.940119760479042E-2</v>
      </c>
      <c r="EC33" s="109">
        <f t="shared" si="57"/>
        <v>6.6883116883116892E-2</v>
      </c>
      <c r="ED33" s="109">
        <f t="shared" si="57"/>
        <v>5.6481796529431791E-2</v>
      </c>
      <c r="EE33" s="111">
        <f t="shared" si="57"/>
        <v>7.5655682582380632E-2</v>
      </c>
      <c r="EF33" s="110">
        <f t="shared" si="57"/>
        <v>2.8985507246376812E-2</v>
      </c>
      <c r="EG33" s="108">
        <f t="shared" si="57"/>
        <v>2.302158273381295E-2</v>
      </c>
      <c r="EH33" s="109">
        <f t="shared" si="57"/>
        <v>3.5307200444815126E-2</v>
      </c>
      <c r="EI33" s="111">
        <f t="shared" si="57"/>
        <v>2.5278810408921933E-2</v>
      </c>
      <c r="EJ33" s="110">
        <f t="shared" si="57"/>
        <v>2.4956471271038887E-2</v>
      </c>
      <c r="EK33" s="108">
        <f t="shared" si="57"/>
        <v>2.8205128205128206E-2</v>
      </c>
      <c r="EL33" s="109">
        <f t="shared" si="57"/>
        <v>2.4339566636984267E-2</v>
      </c>
      <c r="EM33" s="111">
        <f t="shared" si="57"/>
        <v>1.6555329654371186E-2</v>
      </c>
      <c r="EN33" s="111">
        <f t="shared" si="57"/>
        <v>3.5453216374269E-2</v>
      </c>
      <c r="EO33" s="110">
        <f t="shared" si="57"/>
        <v>8.2217973231357558E-2</v>
      </c>
      <c r="EP33" s="108">
        <f t="shared" si="57"/>
        <v>9.0441176470588233E-2</v>
      </c>
      <c r="EQ33" s="109">
        <f t="shared" si="57"/>
        <v>2.8835690968443961E-2</v>
      </c>
      <c r="ER33" s="111">
        <f t="shared" si="57"/>
        <v>6.1238223418573351E-2</v>
      </c>
      <c r="ES33" s="111" t="str">
        <f t="shared" si="57"/>
        <v/>
      </c>
      <c r="ET33" s="110" t="str">
        <f t="shared" si="57"/>
        <v/>
      </c>
      <c r="EU33" s="114"/>
      <c r="EV33" s="115">
        <f>IFERROR(EV31/EV29,"")</f>
        <v>5.5819659561416962E-2</v>
      </c>
      <c r="EW33" s="115">
        <f>IFERROR(EW31/EW29,"")</f>
        <v>2.7564696956924893E-2</v>
      </c>
      <c r="EX33" s="115">
        <f>IFERROR(EX31/EX29,"")</f>
        <v>2.9945962173521464E-2</v>
      </c>
      <c r="EY33" s="116">
        <f>IFERROR(EY31/EY29,"")</f>
        <v>4.5983935742971889E-2</v>
      </c>
      <c r="EZ33" s="114"/>
      <c r="FA33" s="115">
        <f>IFERROR(FA31/FA29,"")</f>
        <v>5.4728267786687025E-2</v>
      </c>
      <c r="FB33" s="115">
        <f>IFERROR(FB31/FB29,"")</f>
        <v>2.6954354669464848E-2</v>
      </c>
      <c r="FC33" s="115">
        <f>IFERROR(FC31/FC29,"")</f>
        <v>3.5135308657827991E-2</v>
      </c>
      <c r="FD33" s="116">
        <f>IFERROR(FD31/FD29,"")</f>
        <v>6.0066280033140018E-2</v>
      </c>
    </row>
    <row r="34" spans="2:160" ht="12.75" customHeight="1" thickBot="1">
      <c r="B34" s="247"/>
      <c r="C34" s="141" t="s">
        <v>137</v>
      </c>
      <c r="D34" s="142">
        <f t="shared" ref="D34:AI34" si="58">IFERROR(D32/D29,"")</f>
        <v>3.4431137724550899E-2</v>
      </c>
      <c r="E34" s="143">
        <f t="shared" si="58"/>
        <v>2.86144578313253E-2</v>
      </c>
      <c r="F34" s="144">
        <f t="shared" si="58"/>
        <v>1.8264840182648401E-2</v>
      </c>
      <c r="G34" s="144">
        <f t="shared" si="58"/>
        <v>4.7619047619047616E-2</v>
      </c>
      <c r="H34" s="144">
        <f t="shared" si="58"/>
        <v>2.0217729393468119E-2</v>
      </c>
      <c r="I34" s="145">
        <f t="shared" si="58"/>
        <v>7.407407407407407E-2</v>
      </c>
      <c r="J34" s="143">
        <f t="shared" si="58"/>
        <v>7.407407407407407E-2</v>
      </c>
      <c r="K34" s="144">
        <f t="shared" si="58"/>
        <v>4.5248868778280547E-3</v>
      </c>
      <c r="L34" s="144">
        <f t="shared" si="58"/>
        <v>2.0522388059701493E-2</v>
      </c>
      <c r="M34" s="144">
        <f t="shared" si="58"/>
        <v>2.5974025974025976E-2</v>
      </c>
      <c r="N34" s="145">
        <f t="shared" si="58"/>
        <v>3.6050156739811913E-2</v>
      </c>
      <c r="O34" s="143">
        <f t="shared" si="58"/>
        <v>8.9285714285714281E-3</v>
      </c>
      <c r="P34" s="144">
        <f t="shared" si="58"/>
        <v>1.3986013986013986E-2</v>
      </c>
      <c r="Q34" s="144">
        <f t="shared" si="58"/>
        <v>1.1532125205930808E-2</v>
      </c>
      <c r="R34" s="144">
        <f t="shared" si="58"/>
        <v>5.5248618784530384E-3</v>
      </c>
      <c r="S34" s="145">
        <f t="shared" si="58"/>
        <v>1.6393442622950821E-2</v>
      </c>
      <c r="T34" s="143">
        <f t="shared" si="58"/>
        <v>4.6296296296296294E-3</v>
      </c>
      <c r="U34" s="144">
        <f t="shared" si="58"/>
        <v>1.0043041606886656E-2</v>
      </c>
      <c r="V34" s="144">
        <f t="shared" si="58"/>
        <v>8.4388185654008432E-3</v>
      </c>
      <c r="W34" s="144">
        <f t="shared" si="58"/>
        <v>1.4285714285714285E-2</v>
      </c>
      <c r="X34" s="145">
        <f t="shared" si="58"/>
        <v>1.6E-2</v>
      </c>
      <c r="Y34" s="143">
        <f t="shared" si="58"/>
        <v>1.832460732984293E-2</v>
      </c>
      <c r="Z34" s="144">
        <f t="shared" si="58"/>
        <v>1.171303074670571E-2</v>
      </c>
      <c r="AA34" s="144">
        <f t="shared" si="58"/>
        <v>1.171303074670571E-2</v>
      </c>
      <c r="AB34" s="144">
        <f t="shared" si="58"/>
        <v>8.8105726872246704E-3</v>
      </c>
      <c r="AC34" s="145">
        <f t="shared" si="58"/>
        <v>6.024096385542169E-3</v>
      </c>
      <c r="AD34" s="143">
        <f t="shared" si="58"/>
        <v>1.2875536480686695E-2</v>
      </c>
      <c r="AE34" s="144">
        <f t="shared" si="58"/>
        <v>1.5267175572519083E-2</v>
      </c>
      <c r="AF34" s="144">
        <f t="shared" si="58"/>
        <v>6.3091482649842269E-3</v>
      </c>
      <c r="AG34" s="144">
        <f t="shared" si="58"/>
        <v>1.9756838905775075E-2</v>
      </c>
      <c r="AH34" s="146">
        <f t="shared" si="58"/>
        <v>1.9316493313521546E-2</v>
      </c>
      <c r="AI34" s="146">
        <f t="shared" si="58"/>
        <v>2.8776978417266189E-2</v>
      </c>
      <c r="AJ34" s="145" t="str">
        <f t="shared" ref="AJ34:BO34" si="59">IFERROR(AJ32/AJ29,"")</f>
        <v/>
      </c>
      <c r="AK34" s="143" t="str">
        <f t="shared" si="59"/>
        <v/>
      </c>
      <c r="AL34" s="144" t="str">
        <f t="shared" si="59"/>
        <v/>
      </c>
      <c r="AM34" s="144" t="str">
        <f t="shared" si="59"/>
        <v/>
      </c>
      <c r="AN34" s="144">
        <f t="shared" si="59"/>
        <v>9.0090090090090089E-3</v>
      </c>
      <c r="AO34" s="146">
        <f t="shared" si="59"/>
        <v>5.8910162002945507E-3</v>
      </c>
      <c r="AP34" s="146" t="str">
        <f t="shared" si="59"/>
        <v/>
      </c>
      <c r="AQ34" s="145" t="str">
        <f t="shared" si="59"/>
        <v/>
      </c>
      <c r="AR34" s="143">
        <f t="shared" si="59"/>
        <v>2.8901734104046241E-3</v>
      </c>
      <c r="AS34" s="144">
        <f t="shared" si="59"/>
        <v>2.9542097488921715E-3</v>
      </c>
      <c r="AT34" s="144">
        <f t="shared" si="59"/>
        <v>1.4471780028943559E-3</v>
      </c>
      <c r="AU34" s="144">
        <f t="shared" si="59"/>
        <v>8.6206896551724137E-3</v>
      </c>
      <c r="AV34" s="146">
        <f t="shared" si="59"/>
        <v>0</v>
      </c>
      <c r="AW34" s="145" t="str">
        <f t="shared" si="59"/>
        <v/>
      </c>
      <c r="AX34" s="143" t="str">
        <f t="shared" si="59"/>
        <v/>
      </c>
      <c r="AY34" s="144" t="str">
        <f t="shared" si="59"/>
        <v/>
      </c>
      <c r="AZ34" s="144">
        <f t="shared" si="59"/>
        <v>3.0211480362537764E-3</v>
      </c>
      <c r="BA34" s="144">
        <f t="shared" si="59"/>
        <v>2.0771513353115726E-2</v>
      </c>
      <c r="BB34" s="146">
        <f t="shared" si="59"/>
        <v>1.6034985422740525E-2</v>
      </c>
      <c r="BC34" s="146">
        <f t="shared" si="59"/>
        <v>4.2372881355932203E-3</v>
      </c>
      <c r="BD34" s="146" t="str">
        <f t="shared" si="59"/>
        <v/>
      </c>
      <c r="BE34" s="145" t="str">
        <f t="shared" si="59"/>
        <v/>
      </c>
      <c r="BF34" s="143">
        <f t="shared" si="59"/>
        <v>1.4471780028943559E-3</v>
      </c>
      <c r="BG34" s="144">
        <f t="shared" si="59"/>
        <v>4.2372881355932203E-3</v>
      </c>
      <c r="BH34" s="144">
        <f t="shared" si="59"/>
        <v>7.3529411764705881E-3</v>
      </c>
      <c r="BI34" s="144">
        <f t="shared" si="59"/>
        <v>0</v>
      </c>
      <c r="BJ34" s="146">
        <f t="shared" si="59"/>
        <v>0</v>
      </c>
      <c r="BK34" s="146" t="str">
        <f t="shared" si="59"/>
        <v/>
      </c>
      <c r="BL34" s="145" t="str">
        <f t="shared" si="59"/>
        <v/>
      </c>
      <c r="BM34" s="143">
        <f t="shared" si="59"/>
        <v>7.3529411764705881E-3</v>
      </c>
      <c r="BN34" s="144">
        <f t="shared" si="59"/>
        <v>1.4285714285714285E-2</v>
      </c>
      <c r="BO34" s="144">
        <f t="shared" si="59"/>
        <v>7.0422535211267607E-3</v>
      </c>
      <c r="BP34" s="144">
        <f t="shared" ref="BP34:CU34" si="60">IFERROR(BP32/BP29,"")</f>
        <v>9.0090090090090089E-3</v>
      </c>
      <c r="BQ34" s="146">
        <f t="shared" si="60"/>
        <v>1.7467248908296942E-2</v>
      </c>
      <c r="BR34" s="146" t="str">
        <f t="shared" si="60"/>
        <v/>
      </c>
      <c r="BS34" s="145" t="str">
        <f t="shared" si="60"/>
        <v/>
      </c>
      <c r="BT34" s="143">
        <f t="shared" si="60"/>
        <v>1.4598540145985401E-2</v>
      </c>
      <c r="BU34" s="144">
        <f t="shared" si="60"/>
        <v>6.25E-2</v>
      </c>
      <c r="BV34" s="144">
        <f t="shared" si="60"/>
        <v>6.1349693251533744E-3</v>
      </c>
      <c r="BW34" s="144">
        <f t="shared" si="60"/>
        <v>1.7857142857142856E-2</v>
      </c>
      <c r="BX34" s="146">
        <f t="shared" si="60"/>
        <v>9.6671949286846276E-2</v>
      </c>
      <c r="BY34" s="146" t="str">
        <f t="shared" si="60"/>
        <v/>
      </c>
      <c r="BZ34" s="146" t="str">
        <f t="shared" si="60"/>
        <v/>
      </c>
      <c r="CA34" s="142">
        <f t="shared" si="60"/>
        <v>4.1044776119402986E-2</v>
      </c>
      <c r="CB34" s="145">
        <f t="shared" si="60"/>
        <v>5.2941176470588235E-2</v>
      </c>
      <c r="CC34" s="142">
        <f t="shared" si="60"/>
        <v>4.336734693877551E-2</v>
      </c>
      <c r="CD34" s="146">
        <f t="shared" si="60"/>
        <v>2.1052631578947368E-2</v>
      </c>
      <c r="CE34" s="146">
        <f t="shared" si="60"/>
        <v>5.6795131845841784E-2</v>
      </c>
      <c r="CF34" s="146" t="str">
        <f t="shared" si="60"/>
        <v/>
      </c>
      <c r="CG34" s="145" t="str">
        <f t="shared" si="60"/>
        <v/>
      </c>
      <c r="CH34" s="143" t="str">
        <f t="shared" si="60"/>
        <v/>
      </c>
      <c r="CI34" s="144">
        <f t="shared" si="60"/>
        <v>3.5714285714285712E-2</v>
      </c>
      <c r="CJ34" s="144">
        <f t="shared" si="60"/>
        <v>0.12195121951219512</v>
      </c>
      <c r="CK34" s="144">
        <f t="shared" si="60"/>
        <v>2.2935779816513763E-3</v>
      </c>
      <c r="CL34" s="146">
        <f t="shared" si="60"/>
        <v>1.098901098901099E-2</v>
      </c>
      <c r="CM34" s="146" t="str">
        <f t="shared" si="60"/>
        <v/>
      </c>
      <c r="CN34" s="145" t="str">
        <f t="shared" si="60"/>
        <v/>
      </c>
      <c r="CO34" s="143" t="str">
        <f t="shared" si="60"/>
        <v/>
      </c>
      <c r="CP34" s="144" t="str">
        <f t="shared" si="60"/>
        <v/>
      </c>
      <c r="CQ34" s="144">
        <f t="shared" si="60"/>
        <v>6.0869565217391307E-2</v>
      </c>
      <c r="CR34" s="144">
        <f t="shared" si="60"/>
        <v>6.0324825986078884E-2</v>
      </c>
      <c r="CS34" s="146">
        <f t="shared" si="60"/>
        <v>6.25E-2</v>
      </c>
      <c r="CT34" s="146" t="str">
        <f t="shared" si="60"/>
        <v/>
      </c>
      <c r="CU34" s="145" t="str">
        <f t="shared" si="60"/>
        <v/>
      </c>
      <c r="CV34" s="143">
        <f t="shared" ref="CV34:DF34" si="61">IFERROR(CV32/CV29,"")</f>
        <v>8.2167832167832161E-2</v>
      </c>
      <c r="CW34" s="144">
        <f t="shared" si="61"/>
        <v>4.4247787610619468E-2</v>
      </c>
      <c r="CX34" s="144">
        <f t="shared" si="61"/>
        <v>3.7366548042704624E-2</v>
      </c>
      <c r="CY34" s="144">
        <f t="shared" si="61"/>
        <v>2.1207177814029365E-2</v>
      </c>
      <c r="CZ34" s="146">
        <f t="shared" si="61"/>
        <v>1.9607843137254902E-2</v>
      </c>
      <c r="DA34" s="146" t="str">
        <f t="shared" si="61"/>
        <v/>
      </c>
      <c r="DB34" s="145" t="str">
        <f t="shared" si="61"/>
        <v/>
      </c>
      <c r="DC34" s="143" t="str">
        <f t="shared" si="61"/>
        <v/>
      </c>
      <c r="DD34" s="144" t="str">
        <f t="shared" si="61"/>
        <v/>
      </c>
      <c r="DE34" s="144" t="str">
        <f t="shared" si="61"/>
        <v/>
      </c>
      <c r="DF34" s="144" t="str">
        <f t="shared" si="61"/>
        <v/>
      </c>
      <c r="DG34" s="71"/>
      <c r="DH34" s="143">
        <f t="shared" ref="DH34:DZ34" si="62">IFERROR(DH32/DH29,"")</f>
        <v>3.4431137724550899E-2</v>
      </c>
      <c r="DI34" s="144">
        <f t="shared" si="62"/>
        <v>3.5714285714285712E-2</v>
      </c>
      <c r="DJ34" s="144">
        <f t="shared" si="62"/>
        <v>3.0282408982647158E-2</v>
      </c>
      <c r="DK34" s="144">
        <f t="shared" si="62"/>
        <v>1.1432414256893073E-2</v>
      </c>
      <c r="DL34" s="145">
        <f t="shared" si="62"/>
        <v>1.064773735581189E-2</v>
      </c>
      <c r="DM34" s="143">
        <f t="shared" si="62"/>
        <v>1.1510791366906475E-2</v>
      </c>
      <c r="DN34" s="144">
        <f t="shared" si="62"/>
        <v>1.5846538782318599E-2</v>
      </c>
      <c r="DO34" s="144">
        <f t="shared" si="62"/>
        <v>7.4349442379182153E-3</v>
      </c>
      <c r="DP34" s="145">
        <f t="shared" si="62"/>
        <v>3.192106790481718E-3</v>
      </c>
      <c r="DQ34" s="143">
        <f t="shared" si="62"/>
        <v>1.098901098901099E-2</v>
      </c>
      <c r="DR34" s="144">
        <f t="shared" si="62"/>
        <v>2.6714158504007124E-3</v>
      </c>
      <c r="DS34" s="144">
        <f t="shared" si="62"/>
        <v>1.1036886436247459E-2</v>
      </c>
      <c r="DT34" s="144">
        <f t="shared" si="62"/>
        <v>3.399122807017544E-2</v>
      </c>
      <c r="DU34" s="145">
        <f t="shared" si="62"/>
        <v>4.6845124282982792E-2</v>
      </c>
      <c r="DV34" s="143">
        <f t="shared" si="62"/>
        <v>4.0441176470588237E-2</v>
      </c>
      <c r="DW34" s="144">
        <f t="shared" si="62"/>
        <v>2.8835690968443961E-2</v>
      </c>
      <c r="DX34" s="144">
        <f t="shared" si="62"/>
        <v>6.1238223418573351E-2</v>
      </c>
      <c r="DY34" s="144">
        <f t="shared" si="62"/>
        <v>4.0355677154582763E-2</v>
      </c>
      <c r="DZ34" s="145">
        <f t="shared" si="62"/>
        <v>3.0187074829931972E-2</v>
      </c>
      <c r="EB34" s="143">
        <f t="shared" ref="EB34:ET34" si="63">IFERROR(EB32/EB29,"")</f>
        <v>3.4431137724550899E-2</v>
      </c>
      <c r="EC34" s="144">
        <f t="shared" si="63"/>
        <v>3.5714285714285712E-2</v>
      </c>
      <c r="ED34" s="144">
        <f t="shared" si="63"/>
        <v>3.0282408982647162E-2</v>
      </c>
      <c r="EE34" s="146">
        <f t="shared" si="63"/>
        <v>1.1432414256893075E-2</v>
      </c>
      <c r="EF34" s="145">
        <f t="shared" si="63"/>
        <v>1.064773735581189E-2</v>
      </c>
      <c r="EG34" s="143">
        <f t="shared" si="63"/>
        <v>1.1510791366906475E-2</v>
      </c>
      <c r="EH34" s="144">
        <f t="shared" si="63"/>
        <v>1.5846538782318599E-2</v>
      </c>
      <c r="EI34" s="146">
        <f t="shared" si="63"/>
        <v>7.4349442379182153E-3</v>
      </c>
      <c r="EJ34" s="145">
        <f t="shared" si="63"/>
        <v>3.1921067904817175E-3</v>
      </c>
      <c r="EK34" s="143">
        <f t="shared" si="63"/>
        <v>1.098901098901099E-2</v>
      </c>
      <c r="EL34" s="144">
        <f t="shared" si="63"/>
        <v>2.6714158504007124E-3</v>
      </c>
      <c r="EM34" s="146">
        <f t="shared" si="63"/>
        <v>1.1036886436247458E-2</v>
      </c>
      <c r="EN34" s="146">
        <f t="shared" si="63"/>
        <v>3.399122807017544E-2</v>
      </c>
      <c r="EO34" s="145">
        <f t="shared" si="63"/>
        <v>4.6845124282982792E-2</v>
      </c>
      <c r="EP34" s="143">
        <f t="shared" si="63"/>
        <v>4.0441176470588237E-2</v>
      </c>
      <c r="EQ34" s="144">
        <f t="shared" si="63"/>
        <v>2.8835690968443961E-2</v>
      </c>
      <c r="ER34" s="146">
        <f t="shared" si="63"/>
        <v>6.1238223418573351E-2</v>
      </c>
      <c r="ES34" s="146" t="str">
        <f t="shared" si="63"/>
        <v/>
      </c>
      <c r="ET34" s="145" t="str">
        <f t="shared" si="63"/>
        <v/>
      </c>
      <c r="EV34" s="147">
        <f>IFERROR(EV32/EV29,"")</f>
        <v>2.238920410979911E-2</v>
      </c>
      <c r="EW34" s="147">
        <f>IFERROR(EW32/EW29,"")</f>
        <v>9.9468937031105108E-3</v>
      </c>
      <c r="EX34" s="147">
        <f>IFERROR(EX32/EX29,"")</f>
        <v>1.6436505553887721E-2</v>
      </c>
      <c r="EY34" s="148">
        <f>IFERROR(EY32/EY29,"")</f>
        <v>3.8955823293172688E-2</v>
      </c>
      <c r="FA34" s="147">
        <f>IFERROR(FA32/FA29,"")</f>
        <v>2.4436807941962579E-2</v>
      </c>
      <c r="FB34" s="147">
        <f>IFERROR(FB32/FB29,"")</f>
        <v>9.5750262329485827E-3</v>
      </c>
      <c r="FC34" s="147">
        <f>IFERROR(FC32/FC29,"")</f>
        <v>1.9261018907900225E-2</v>
      </c>
      <c r="FD34" s="148">
        <f>IFERROR(FD32/FD29,"")</f>
        <v>4.3969700556278857E-2</v>
      </c>
    </row>
    <row r="35" spans="2:160">
      <c r="B35" s="63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  <c r="BQ35" s="149"/>
      <c r="BR35" s="149"/>
      <c r="BS35" s="149"/>
      <c r="BT35" s="149"/>
      <c r="BU35" s="149"/>
      <c r="BV35" s="149"/>
      <c r="BW35" s="149"/>
      <c r="BX35" s="149"/>
      <c r="BY35" s="149"/>
      <c r="BZ35" s="149"/>
      <c r="CA35" s="149"/>
      <c r="CB35" s="149"/>
      <c r="CC35" s="149"/>
      <c r="CD35" s="149"/>
      <c r="CE35" s="149"/>
      <c r="CF35" s="149"/>
      <c r="CG35" s="149"/>
      <c r="CH35" s="149"/>
      <c r="CI35" s="149"/>
      <c r="CJ35" s="149"/>
      <c r="CK35" s="149"/>
      <c r="CL35" s="149"/>
      <c r="CM35" s="149"/>
      <c r="CN35" s="149"/>
      <c r="CO35" s="149"/>
      <c r="CP35" s="149"/>
      <c r="CQ35" s="149"/>
      <c r="CR35" s="149"/>
      <c r="CS35" s="149"/>
      <c r="CT35" s="149"/>
      <c r="CU35" s="149"/>
      <c r="CV35" s="149"/>
      <c r="CW35" s="149"/>
      <c r="CX35" s="149"/>
      <c r="CY35" s="149"/>
      <c r="CZ35" s="149"/>
      <c r="DA35" s="149"/>
      <c r="DB35" s="149"/>
      <c r="DC35" s="149"/>
      <c r="DD35" s="149"/>
      <c r="DE35" s="149"/>
      <c r="DF35" s="149"/>
      <c r="DG35" s="149"/>
      <c r="EU35" s="149"/>
    </row>
    <row r="36" spans="2:160">
      <c r="B36" s="63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  <c r="BQ36" s="149"/>
      <c r="BR36" s="149"/>
      <c r="BS36" s="149"/>
      <c r="BT36" s="149"/>
      <c r="BU36" s="149"/>
      <c r="BV36" s="149"/>
      <c r="BW36" s="149"/>
      <c r="BX36" s="149"/>
      <c r="BY36" s="149"/>
      <c r="BZ36" s="149"/>
      <c r="CA36" s="149"/>
      <c r="CB36" s="149"/>
      <c r="CC36" s="149"/>
      <c r="CD36" s="149"/>
      <c r="CE36" s="149"/>
      <c r="CF36" s="149"/>
      <c r="CG36" s="149"/>
      <c r="CH36" s="149"/>
      <c r="CI36" s="149"/>
      <c r="CJ36" s="149"/>
      <c r="CK36" s="149"/>
      <c r="CL36" s="149"/>
      <c r="CM36" s="149"/>
      <c r="CN36" s="149"/>
      <c r="CO36" s="149"/>
      <c r="CP36" s="149"/>
      <c r="CQ36" s="149"/>
      <c r="CR36" s="149"/>
      <c r="CS36" s="149"/>
      <c r="CT36" s="149"/>
      <c r="CU36" s="149"/>
      <c r="CV36" s="149"/>
      <c r="CW36" s="149"/>
      <c r="CX36" s="149"/>
      <c r="CY36" s="149"/>
      <c r="CZ36" s="149"/>
      <c r="DA36" s="149"/>
      <c r="DB36" s="149"/>
      <c r="DC36" s="149"/>
      <c r="DD36" s="149"/>
      <c r="DE36" s="149"/>
      <c r="DF36" s="149"/>
      <c r="DG36" s="149"/>
      <c r="EU36" s="149"/>
    </row>
    <row r="37" spans="2:160" ht="15" customHeight="1">
      <c r="B37" s="64" t="s">
        <v>138</v>
      </c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  <c r="BT37" s="149"/>
      <c r="BU37" s="149"/>
      <c r="BV37" s="149"/>
      <c r="BW37" s="149"/>
      <c r="BX37" s="149"/>
      <c r="BY37" s="149"/>
      <c r="BZ37" s="149"/>
      <c r="CA37" s="149"/>
      <c r="CB37" s="149"/>
      <c r="CC37" s="149"/>
      <c r="CD37" s="149"/>
      <c r="CE37" s="149"/>
      <c r="CF37" s="149"/>
      <c r="CG37" s="149"/>
      <c r="CH37" s="149"/>
      <c r="CI37" s="149"/>
      <c r="CJ37" s="149"/>
      <c r="CK37" s="149"/>
      <c r="CL37" s="149"/>
      <c r="CM37" s="149"/>
      <c r="CN37" s="149"/>
      <c r="CO37" s="149"/>
      <c r="CP37" s="149"/>
      <c r="CQ37" s="149"/>
      <c r="CR37" s="149"/>
      <c r="CS37" s="149"/>
      <c r="CT37" s="149"/>
      <c r="CU37" s="149"/>
      <c r="CV37" s="149"/>
      <c r="CW37" s="149"/>
      <c r="CX37" s="149"/>
      <c r="CY37" s="149"/>
      <c r="CZ37" s="149"/>
      <c r="DA37" s="149"/>
      <c r="DB37" s="149"/>
      <c r="DC37" s="149"/>
      <c r="DD37" s="149"/>
      <c r="DE37" s="149"/>
      <c r="DF37" s="149"/>
      <c r="DG37" s="149"/>
      <c r="EU37" s="149"/>
    </row>
    <row r="38" spans="2:160">
      <c r="B38" s="63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  <c r="BR38" s="149"/>
      <c r="BS38" s="149"/>
      <c r="BT38" s="149"/>
      <c r="BU38" s="149"/>
      <c r="BV38" s="149"/>
      <c r="BW38" s="149"/>
      <c r="BX38" s="149"/>
      <c r="BY38" s="149"/>
      <c r="BZ38" s="149"/>
      <c r="CA38" s="149"/>
      <c r="CB38" s="149"/>
      <c r="CC38" s="149"/>
      <c r="CD38" s="149"/>
      <c r="CE38" s="149"/>
      <c r="CF38" s="149"/>
      <c r="CG38" s="149"/>
      <c r="CH38" s="149"/>
      <c r="CI38" s="149"/>
      <c r="CJ38" s="149"/>
      <c r="CK38" s="149"/>
      <c r="CL38" s="149"/>
      <c r="CM38" s="149"/>
      <c r="CN38" s="149"/>
      <c r="CO38" s="149"/>
      <c r="CP38" s="149"/>
      <c r="CQ38" s="149"/>
      <c r="CR38" s="149"/>
      <c r="CS38" s="149"/>
      <c r="CT38" s="149"/>
      <c r="CU38" s="149"/>
      <c r="CV38" s="149"/>
      <c r="CW38" s="149"/>
      <c r="CX38" s="149"/>
      <c r="CY38" s="149"/>
      <c r="CZ38" s="149"/>
      <c r="DA38" s="149"/>
      <c r="DB38" s="149"/>
      <c r="DC38" s="149"/>
      <c r="DD38" s="149"/>
      <c r="DE38" s="149"/>
      <c r="DF38" s="149"/>
      <c r="DG38" s="149"/>
      <c r="EU38" s="149"/>
    </row>
    <row r="39" spans="2:160">
      <c r="B39" s="63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  <c r="BT39" s="149"/>
      <c r="BU39" s="149"/>
      <c r="BV39" s="149"/>
      <c r="BW39" s="149"/>
      <c r="BX39" s="149"/>
      <c r="BY39" s="149"/>
      <c r="BZ39" s="149"/>
      <c r="CA39" s="149"/>
      <c r="CB39" s="149"/>
      <c r="CC39" s="149"/>
      <c r="CD39" s="149"/>
      <c r="CE39" s="149"/>
      <c r="CF39" s="149"/>
      <c r="CG39" s="149"/>
      <c r="CH39" s="149"/>
      <c r="CI39" s="149"/>
      <c r="CJ39" s="149"/>
      <c r="CK39" s="149"/>
      <c r="CL39" s="149"/>
      <c r="CM39" s="149"/>
      <c r="CN39" s="149"/>
      <c r="CO39" s="149"/>
      <c r="CP39" s="149"/>
      <c r="CQ39" s="149"/>
      <c r="CR39" s="149"/>
      <c r="CS39" s="149"/>
      <c r="CT39" s="149"/>
      <c r="CU39" s="149"/>
      <c r="CV39" s="149"/>
      <c r="CW39" s="149"/>
      <c r="CX39" s="149"/>
      <c r="CY39" s="149"/>
      <c r="CZ39" s="149"/>
      <c r="DA39" s="149"/>
      <c r="DB39" s="149"/>
      <c r="DC39" s="149"/>
      <c r="DD39" s="149"/>
      <c r="DE39" s="149"/>
      <c r="DF39" s="149"/>
      <c r="DG39" s="149"/>
      <c r="EU39" s="149"/>
    </row>
    <row r="40" spans="2:160">
      <c r="B40" s="63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  <c r="BP40" s="149"/>
      <c r="BQ40" s="149"/>
      <c r="BR40" s="149"/>
      <c r="BS40" s="149"/>
      <c r="BT40" s="149"/>
      <c r="BU40" s="149"/>
      <c r="BV40" s="149"/>
      <c r="BW40" s="149"/>
      <c r="BX40" s="149"/>
      <c r="BY40" s="149"/>
      <c r="BZ40" s="149"/>
      <c r="CA40" s="149"/>
      <c r="CB40" s="149"/>
      <c r="CC40" s="149"/>
      <c r="CD40" s="149"/>
      <c r="CE40" s="149"/>
      <c r="CF40" s="149"/>
      <c r="CG40" s="149"/>
      <c r="CH40" s="149"/>
      <c r="CI40" s="149"/>
      <c r="CJ40" s="149"/>
      <c r="CK40" s="149"/>
      <c r="CL40" s="149"/>
      <c r="CM40" s="149"/>
      <c r="CN40" s="149"/>
      <c r="CO40" s="149"/>
      <c r="CP40" s="149"/>
      <c r="CQ40" s="149"/>
      <c r="CR40" s="149"/>
      <c r="CS40" s="149"/>
      <c r="CT40" s="149"/>
      <c r="CU40" s="149"/>
      <c r="CV40" s="149"/>
      <c r="CW40" s="149"/>
      <c r="CX40" s="149"/>
      <c r="CY40" s="149"/>
      <c r="CZ40" s="149"/>
      <c r="DA40" s="149"/>
      <c r="DB40" s="149"/>
      <c r="DC40" s="149"/>
      <c r="DD40" s="149"/>
      <c r="DE40" s="149"/>
      <c r="DF40" s="149"/>
      <c r="DG40" s="149"/>
      <c r="EU40" s="149"/>
    </row>
    <row r="41" spans="2:160">
      <c r="B41" s="63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P41" s="149"/>
      <c r="BQ41" s="149"/>
      <c r="BR41" s="149"/>
      <c r="BS41" s="149"/>
      <c r="BT41" s="149"/>
      <c r="BU41" s="149"/>
      <c r="BV41" s="149"/>
      <c r="BW41" s="149"/>
      <c r="BX41" s="149"/>
      <c r="BY41" s="149"/>
      <c r="BZ41" s="149"/>
      <c r="CA41" s="149"/>
      <c r="CB41" s="149"/>
      <c r="CC41" s="149"/>
      <c r="CD41" s="149"/>
      <c r="CE41" s="149"/>
      <c r="CF41" s="149"/>
      <c r="CG41" s="149"/>
      <c r="CH41" s="149"/>
      <c r="CI41" s="149"/>
      <c r="CJ41" s="149"/>
      <c r="CK41" s="149"/>
      <c r="CL41" s="149"/>
      <c r="CM41" s="149"/>
      <c r="CN41" s="149"/>
      <c r="CO41" s="149"/>
      <c r="CP41" s="149"/>
      <c r="CQ41" s="149"/>
      <c r="CR41" s="149"/>
      <c r="CS41" s="149"/>
      <c r="CT41" s="149"/>
      <c r="CU41" s="149"/>
      <c r="CV41" s="149"/>
      <c r="CW41" s="149"/>
      <c r="CX41" s="149"/>
      <c r="CY41" s="149"/>
      <c r="CZ41" s="149"/>
      <c r="DA41" s="149"/>
      <c r="DB41" s="149"/>
      <c r="DC41" s="149"/>
      <c r="DD41" s="149"/>
      <c r="DE41" s="149"/>
      <c r="DF41" s="149"/>
      <c r="DG41" s="149"/>
      <c r="EU41" s="149"/>
    </row>
    <row r="42" spans="2:160">
      <c r="B42" s="63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P42" s="149"/>
      <c r="BQ42" s="149"/>
      <c r="BR42" s="149"/>
      <c r="BS42" s="149"/>
      <c r="BT42" s="149"/>
      <c r="BU42" s="149"/>
      <c r="BV42" s="149"/>
      <c r="BW42" s="149"/>
      <c r="BX42" s="149"/>
      <c r="BY42" s="149"/>
      <c r="BZ42" s="149"/>
      <c r="CA42" s="149"/>
      <c r="CB42" s="149"/>
      <c r="CC42" s="149"/>
      <c r="CD42" s="149"/>
      <c r="CE42" s="149"/>
      <c r="CF42" s="149"/>
      <c r="CG42" s="149"/>
      <c r="CH42" s="149"/>
      <c r="CI42" s="149"/>
      <c r="CJ42" s="149"/>
      <c r="CK42" s="149"/>
      <c r="CL42" s="149"/>
      <c r="CM42" s="149"/>
      <c r="CN42" s="149"/>
      <c r="CO42" s="149"/>
      <c r="CP42" s="149"/>
      <c r="CQ42" s="149"/>
      <c r="CR42" s="149"/>
      <c r="CS42" s="149"/>
      <c r="CT42" s="149"/>
      <c r="CU42" s="149"/>
      <c r="CV42" s="149"/>
      <c r="CW42" s="149"/>
      <c r="CX42" s="149"/>
      <c r="CY42" s="149"/>
      <c r="CZ42" s="149"/>
      <c r="DA42" s="149"/>
      <c r="DB42" s="149"/>
      <c r="DC42" s="149"/>
      <c r="DD42" s="149"/>
      <c r="DE42" s="149"/>
      <c r="DF42" s="149"/>
      <c r="DG42" s="149"/>
      <c r="EU42" s="149"/>
    </row>
    <row r="43" spans="2:160">
      <c r="B43" s="63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  <c r="BQ43" s="149"/>
      <c r="BR43" s="149"/>
      <c r="BS43" s="149"/>
      <c r="BT43" s="149"/>
      <c r="BU43" s="149"/>
      <c r="BV43" s="149"/>
      <c r="BW43" s="149"/>
      <c r="BX43" s="149"/>
      <c r="BY43" s="149"/>
      <c r="BZ43" s="149"/>
      <c r="CA43" s="149"/>
      <c r="CB43" s="149"/>
      <c r="CC43" s="149"/>
      <c r="CD43" s="149"/>
      <c r="CE43" s="149"/>
      <c r="CF43" s="149"/>
      <c r="CG43" s="149"/>
      <c r="CH43" s="149"/>
      <c r="CI43" s="149"/>
      <c r="CJ43" s="149"/>
      <c r="CK43" s="149"/>
      <c r="CL43" s="149"/>
      <c r="CM43" s="149"/>
      <c r="CN43" s="149"/>
      <c r="CO43" s="149"/>
      <c r="CP43" s="149"/>
      <c r="CQ43" s="149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  <c r="DB43" s="149"/>
      <c r="DC43" s="149"/>
      <c r="DD43" s="149"/>
      <c r="DE43" s="149"/>
      <c r="DF43" s="149"/>
      <c r="DG43" s="149"/>
      <c r="EU43" s="149"/>
    </row>
    <row r="44" spans="2:160">
      <c r="B44" s="63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/>
      <c r="BV44" s="149"/>
      <c r="BW44" s="149"/>
      <c r="BX44" s="149"/>
      <c r="BY44" s="149"/>
      <c r="BZ44" s="149"/>
      <c r="CA44" s="149"/>
      <c r="CB44" s="149"/>
      <c r="CC44" s="149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EU44" s="149"/>
    </row>
    <row r="45" spans="2:160">
      <c r="B45" s="63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  <c r="BQ45" s="149"/>
      <c r="BR45" s="149"/>
      <c r="BS45" s="149"/>
      <c r="BT45" s="149"/>
      <c r="BU45" s="149"/>
      <c r="BV45" s="149"/>
      <c r="BW45" s="149"/>
      <c r="BX45" s="149"/>
      <c r="BY45" s="149"/>
      <c r="BZ45" s="149"/>
      <c r="CA45" s="149"/>
      <c r="CB45" s="149"/>
      <c r="CC45" s="149"/>
      <c r="CD45" s="149"/>
      <c r="CE45" s="149"/>
      <c r="CF45" s="149"/>
      <c r="CG45" s="149"/>
      <c r="CH45" s="149"/>
      <c r="CI45" s="149"/>
      <c r="CJ45" s="149"/>
      <c r="CK45" s="149"/>
      <c r="CL45" s="149"/>
      <c r="CM45" s="149"/>
      <c r="CN45" s="149"/>
      <c r="CO45" s="149"/>
      <c r="CP45" s="149"/>
      <c r="CQ45" s="149"/>
      <c r="CR45" s="149"/>
      <c r="CS45" s="149"/>
      <c r="CT45" s="149"/>
      <c r="CU45" s="149"/>
      <c r="CV45" s="149"/>
      <c r="CW45" s="149"/>
      <c r="CX45" s="149"/>
      <c r="CY45" s="149"/>
      <c r="CZ45" s="149"/>
      <c r="DA45" s="149"/>
      <c r="DB45" s="149"/>
      <c r="DC45" s="149"/>
      <c r="DD45" s="149"/>
      <c r="DE45" s="149"/>
      <c r="DF45" s="149"/>
      <c r="DG45" s="149"/>
      <c r="EU45" s="149"/>
    </row>
    <row r="46" spans="2:160">
      <c r="B46" s="63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  <c r="BN46" s="149"/>
      <c r="BO46" s="149"/>
      <c r="BP46" s="149"/>
      <c r="BQ46" s="149"/>
      <c r="BR46" s="149"/>
      <c r="BS46" s="149"/>
      <c r="BT46" s="149"/>
      <c r="BU46" s="149"/>
      <c r="BV46" s="149"/>
      <c r="BW46" s="149"/>
      <c r="BX46" s="149"/>
      <c r="BY46" s="149"/>
      <c r="BZ46" s="149"/>
      <c r="CA46" s="149"/>
      <c r="CB46" s="149"/>
      <c r="CC46" s="149"/>
      <c r="CD46" s="149"/>
      <c r="CE46" s="149"/>
      <c r="CF46" s="149"/>
      <c r="CG46" s="149"/>
      <c r="CH46" s="149"/>
      <c r="CI46" s="149"/>
      <c r="CJ46" s="149"/>
      <c r="CK46" s="149"/>
      <c r="CL46" s="149"/>
      <c r="CM46" s="149"/>
      <c r="CN46" s="149"/>
      <c r="CO46" s="149"/>
      <c r="CP46" s="149"/>
      <c r="CQ46" s="149"/>
      <c r="CR46" s="149"/>
      <c r="CS46" s="149"/>
      <c r="CT46" s="149"/>
      <c r="CU46" s="149"/>
      <c r="CV46" s="149"/>
      <c r="CW46" s="149"/>
      <c r="CX46" s="149"/>
      <c r="CY46" s="149"/>
      <c r="CZ46" s="149"/>
      <c r="DA46" s="149"/>
      <c r="DB46" s="149"/>
      <c r="DC46" s="149"/>
      <c r="DD46" s="149"/>
      <c r="DE46" s="149"/>
      <c r="DF46" s="149"/>
      <c r="DG46" s="149"/>
      <c r="EU46" s="149"/>
    </row>
    <row r="47" spans="2:160">
      <c r="B47" s="63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  <c r="BQ47" s="149"/>
      <c r="BR47" s="149"/>
      <c r="BS47" s="149"/>
      <c r="BT47" s="149"/>
      <c r="BU47" s="149"/>
      <c r="BV47" s="149"/>
      <c r="BW47" s="149"/>
      <c r="BX47" s="149"/>
      <c r="BY47" s="149"/>
      <c r="BZ47" s="149"/>
      <c r="CA47" s="149"/>
      <c r="CB47" s="149"/>
      <c r="CC47" s="149"/>
      <c r="CD47" s="149"/>
      <c r="CE47" s="149"/>
      <c r="CF47" s="149"/>
      <c r="CG47" s="149"/>
      <c r="CH47" s="149"/>
      <c r="CI47" s="149"/>
      <c r="CJ47" s="149"/>
      <c r="CK47" s="149"/>
      <c r="CL47" s="149"/>
      <c r="CM47" s="149"/>
      <c r="CN47" s="149"/>
      <c r="CO47" s="149"/>
      <c r="CP47" s="149"/>
      <c r="CQ47" s="149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  <c r="DB47" s="149"/>
      <c r="DC47" s="149"/>
      <c r="DD47" s="149"/>
      <c r="DE47" s="149"/>
      <c r="DF47" s="149"/>
      <c r="DG47" s="149"/>
      <c r="EU47" s="149"/>
    </row>
    <row r="48" spans="2:160">
      <c r="B48" s="63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  <c r="BN48" s="149"/>
      <c r="BO48" s="149"/>
      <c r="BP48" s="149"/>
      <c r="BQ48" s="149"/>
      <c r="BR48" s="149"/>
      <c r="BS48" s="149"/>
      <c r="BT48" s="149"/>
      <c r="BU48" s="149"/>
      <c r="BV48" s="149"/>
      <c r="BW48" s="149"/>
      <c r="BX48" s="149"/>
      <c r="BY48" s="149"/>
      <c r="BZ48" s="149"/>
      <c r="CA48" s="149"/>
      <c r="CB48" s="149"/>
      <c r="CC48" s="149"/>
      <c r="CD48" s="149"/>
      <c r="CE48" s="149"/>
      <c r="CF48" s="149"/>
      <c r="CG48" s="149"/>
      <c r="CH48" s="149"/>
      <c r="CI48" s="149"/>
      <c r="CJ48" s="149"/>
      <c r="CK48" s="149"/>
      <c r="CL48" s="149"/>
      <c r="CM48" s="149"/>
      <c r="CN48" s="149"/>
      <c r="CO48" s="149"/>
      <c r="CP48" s="149"/>
      <c r="CQ48" s="149"/>
      <c r="CR48" s="149"/>
      <c r="CS48" s="149"/>
      <c r="CT48" s="149"/>
      <c r="CU48" s="149"/>
      <c r="CV48" s="149"/>
      <c r="CW48" s="149"/>
      <c r="CX48" s="149"/>
      <c r="CY48" s="149"/>
      <c r="CZ48" s="149"/>
      <c r="DA48" s="149"/>
      <c r="DB48" s="149"/>
      <c r="DC48" s="149"/>
      <c r="DD48" s="149"/>
      <c r="DE48" s="149"/>
      <c r="DF48" s="149"/>
      <c r="DG48" s="149"/>
      <c r="EU48" s="149"/>
    </row>
    <row r="49" spans="1:160">
      <c r="B49" s="63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  <c r="BV49" s="149"/>
      <c r="BW49" s="149"/>
      <c r="BX49" s="149"/>
      <c r="BY49" s="149"/>
      <c r="BZ49" s="149"/>
      <c r="CA49" s="149"/>
      <c r="CB49" s="149"/>
      <c r="CC49" s="149"/>
      <c r="CD49" s="149"/>
      <c r="CE49" s="149"/>
      <c r="CF49" s="149"/>
      <c r="CG49" s="149"/>
      <c r="CH49" s="149"/>
      <c r="CI49" s="149"/>
      <c r="CJ49" s="149"/>
      <c r="CK49" s="149"/>
      <c r="CL49" s="149"/>
      <c r="CM49" s="149"/>
      <c r="CN49" s="149"/>
      <c r="CO49" s="149"/>
      <c r="CP49" s="149"/>
      <c r="CQ49" s="149"/>
      <c r="CR49" s="149"/>
      <c r="CS49" s="149"/>
      <c r="CT49" s="149"/>
      <c r="CU49" s="149"/>
      <c r="CV49" s="149"/>
      <c r="CW49" s="149"/>
      <c r="CX49" s="149"/>
      <c r="CY49" s="149"/>
      <c r="CZ49" s="149"/>
      <c r="DA49" s="149"/>
      <c r="DB49" s="149"/>
      <c r="DC49" s="149"/>
      <c r="DD49" s="149"/>
      <c r="DE49" s="149"/>
      <c r="DF49" s="149"/>
      <c r="DG49" s="149"/>
      <c r="EU49" s="149"/>
    </row>
    <row r="50" spans="1:160" ht="12.75" customHeight="1" thickBot="1">
      <c r="B50" s="63" t="s">
        <v>103</v>
      </c>
      <c r="DG50" s="63" t="s">
        <v>104</v>
      </c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3" t="s">
        <v>105</v>
      </c>
      <c r="EU50" s="63" t="s">
        <v>106</v>
      </c>
      <c r="EV50" s="65"/>
      <c r="EW50" s="65"/>
      <c r="EX50" s="65"/>
      <c r="EY50" s="65"/>
      <c r="EZ50" s="63" t="s">
        <v>107</v>
      </c>
    </row>
    <row r="51" spans="1:160" ht="15">
      <c r="B51" s="248" t="s">
        <v>108</v>
      </c>
      <c r="C51" s="243"/>
      <c r="D51" s="66">
        <v>46024</v>
      </c>
      <c r="E51" s="67">
        <v>46027</v>
      </c>
      <c r="F51" s="68">
        <v>46028</v>
      </c>
      <c r="G51" s="68">
        <v>46029</v>
      </c>
      <c r="H51" s="68">
        <v>46030</v>
      </c>
      <c r="I51" s="69">
        <v>46031</v>
      </c>
      <c r="J51" s="67">
        <v>46034</v>
      </c>
      <c r="K51" s="68">
        <v>46035</v>
      </c>
      <c r="L51" s="68">
        <v>46036</v>
      </c>
      <c r="M51" s="68">
        <v>46037</v>
      </c>
      <c r="N51" s="69">
        <v>46038</v>
      </c>
      <c r="O51" s="67">
        <v>46041</v>
      </c>
      <c r="P51" s="68">
        <v>46042</v>
      </c>
      <c r="Q51" s="68">
        <v>46043</v>
      </c>
      <c r="R51" s="68">
        <v>46044</v>
      </c>
      <c r="S51" s="69">
        <v>46045</v>
      </c>
      <c r="T51" s="67">
        <v>46048</v>
      </c>
      <c r="U51" s="68">
        <v>46049</v>
      </c>
      <c r="V51" s="68">
        <v>46050</v>
      </c>
      <c r="W51" s="68">
        <v>46051</v>
      </c>
      <c r="X51" s="69">
        <v>46052</v>
      </c>
      <c r="Y51" s="67">
        <v>46055</v>
      </c>
      <c r="Z51" s="68">
        <v>46056</v>
      </c>
      <c r="AA51" s="68">
        <v>46057</v>
      </c>
      <c r="AB51" s="68">
        <v>46058</v>
      </c>
      <c r="AC51" s="69">
        <v>46059</v>
      </c>
      <c r="AD51" s="67">
        <v>46062</v>
      </c>
      <c r="AE51" s="68">
        <v>46063</v>
      </c>
      <c r="AF51" s="68">
        <v>46064</v>
      </c>
      <c r="AG51" s="68">
        <v>46065</v>
      </c>
      <c r="AH51" s="70">
        <v>46066</v>
      </c>
      <c r="AI51" s="70">
        <v>46067</v>
      </c>
      <c r="AJ51" s="69">
        <v>46068</v>
      </c>
      <c r="AK51" s="67">
        <v>46069</v>
      </c>
      <c r="AL51" s="68">
        <v>46070</v>
      </c>
      <c r="AM51" s="68">
        <v>46071</v>
      </c>
      <c r="AN51" s="68">
        <v>46072</v>
      </c>
      <c r="AO51" s="68">
        <v>46073</v>
      </c>
      <c r="AP51" s="68">
        <v>46074</v>
      </c>
      <c r="AQ51" s="69">
        <v>46075</v>
      </c>
      <c r="AR51" s="67">
        <v>46076</v>
      </c>
      <c r="AS51" s="68">
        <v>46077</v>
      </c>
      <c r="AT51" s="68">
        <v>46078</v>
      </c>
      <c r="AU51" s="68">
        <v>46079</v>
      </c>
      <c r="AV51" s="68">
        <v>46080</v>
      </c>
      <c r="AW51" s="69">
        <v>46081</v>
      </c>
      <c r="AX51" s="67">
        <v>46082</v>
      </c>
      <c r="AY51" s="68">
        <v>46083</v>
      </c>
      <c r="AZ51" s="68">
        <v>46084</v>
      </c>
      <c r="BA51" s="68">
        <v>46085</v>
      </c>
      <c r="BB51" s="68">
        <v>46086</v>
      </c>
      <c r="BC51" s="68">
        <v>46087</v>
      </c>
      <c r="BD51" s="68">
        <v>46088</v>
      </c>
      <c r="BE51" s="69">
        <v>46089</v>
      </c>
      <c r="BF51" s="67">
        <v>46090</v>
      </c>
      <c r="BG51" s="68">
        <v>46091</v>
      </c>
      <c r="BH51" s="68">
        <v>46092</v>
      </c>
      <c r="BI51" s="68">
        <v>46093</v>
      </c>
      <c r="BJ51" s="68">
        <v>46094</v>
      </c>
      <c r="BK51" s="68">
        <v>46095</v>
      </c>
      <c r="BL51" s="69">
        <v>46096</v>
      </c>
      <c r="BM51" s="67">
        <v>46097</v>
      </c>
      <c r="BN51" s="68">
        <v>46098</v>
      </c>
      <c r="BO51" s="68">
        <v>46099</v>
      </c>
      <c r="BP51" s="68">
        <v>46100</v>
      </c>
      <c r="BQ51" s="68">
        <v>46101</v>
      </c>
      <c r="BR51" s="68">
        <v>46102</v>
      </c>
      <c r="BS51" s="69">
        <v>46103</v>
      </c>
      <c r="BT51" s="67">
        <v>46104</v>
      </c>
      <c r="BU51" s="68">
        <v>46105</v>
      </c>
      <c r="BV51" s="68">
        <v>46106</v>
      </c>
      <c r="BW51" s="68">
        <v>46107</v>
      </c>
      <c r="BX51" s="68">
        <v>46108</v>
      </c>
      <c r="BY51" s="68">
        <v>46109</v>
      </c>
      <c r="BZ51" s="70">
        <v>46110</v>
      </c>
      <c r="CA51" s="66">
        <v>46111</v>
      </c>
      <c r="CB51" s="69">
        <v>46112</v>
      </c>
      <c r="CC51" s="67">
        <v>46113</v>
      </c>
      <c r="CD51" s="68">
        <v>46114</v>
      </c>
      <c r="CE51" s="68">
        <v>46115</v>
      </c>
      <c r="CF51" s="68">
        <v>46116</v>
      </c>
      <c r="CG51" s="69">
        <v>46117</v>
      </c>
      <c r="CH51" s="67">
        <v>46118</v>
      </c>
      <c r="CI51" s="68">
        <v>46119</v>
      </c>
      <c r="CJ51" s="68">
        <v>46120</v>
      </c>
      <c r="CK51" s="68">
        <v>46121</v>
      </c>
      <c r="CL51" s="68">
        <v>46122</v>
      </c>
      <c r="CM51" s="68">
        <v>46123</v>
      </c>
      <c r="CN51" s="70">
        <v>46124</v>
      </c>
      <c r="CO51" s="67">
        <v>46125</v>
      </c>
      <c r="CP51" s="68">
        <v>46126</v>
      </c>
      <c r="CQ51" s="68">
        <v>46127</v>
      </c>
      <c r="CR51" s="68">
        <v>46128</v>
      </c>
      <c r="CS51" s="68">
        <v>46129</v>
      </c>
      <c r="CT51" s="68">
        <v>46130</v>
      </c>
      <c r="CU51" s="70">
        <v>46131</v>
      </c>
      <c r="CV51" s="67">
        <v>46132</v>
      </c>
      <c r="CW51" s="68">
        <v>46133</v>
      </c>
      <c r="CX51" s="68">
        <v>46134</v>
      </c>
      <c r="CY51" s="68">
        <v>46135</v>
      </c>
      <c r="CZ51" s="68">
        <v>46136</v>
      </c>
      <c r="DA51" s="68">
        <v>46137</v>
      </c>
      <c r="DB51" s="70">
        <v>46138</v>
      </c>
      <c r="DC51" s="67">
        <v>46139</v>
      </c>
      <c r="DD51" s="68">
        <v>46140</v>
      </c>
      <c r="DE51" s="68">
        <v>46141</v>
      </c>
      <c r="DF51" s="68">
        <v>46142</v>
      </c>
      <c r="DG51" s="150"/>
      <c r="DH51" s="72" t="s">
        <v>109</v>
      </c>
      <c r="DI51" s="73" t="s">
        <v>110</v>
      </c>
      <c r="DJ51" s="73" t="s">
        <v>111</v>
      </c>
      <c r="DK51" s="74" t="s">
        <v>112</v>
      </c>
      <c r="DL51" s="75" t="s">
        <v>113</v>
      </c>
      <c r="DM51" s="72" t="s">
        <v>114</v>
      </c>
      <c r="DN51" s="73" t="s">
        <v>115</v>
      </c>
      <c r="DO51" s="74" t="s">
        <v>116</v>
      </c>
      <c r="DP51" s="75" t="s">
        <v>117</v>
      </c>
      <c r="DQ51" s="72" t="s">
        <v>118</v>
      </c>
      <c r="DR51" s="73" t="s">
        <v>119</v>
      </c>
      <c r="DS51" s="74" t="s">
        <v>120</v>
      </c>
      <c r="DT51" s="74" t="s">
        <v>121</v>
      </c>
      <c r="DU51" s="75" t="s">
        <v>122</v>
      </c>
      <c r="DV51" s="72" t="s">
        <v>123</v>
      </c>
      <c r="DW51" s="73" t="s">
        <v>124</v>
      </c>
      <c r="DX51" s="74" t="s">
        <v>125</v>
      </c>
      <c r="DY51" s="74" t="s">
        <v>126</v>
      </c>
      <c r="DZ51" s="75" t="s">
        <v>127</v>
      </c>
      <c r="EB51" s="72" t="s">
        <v>109</v>
      </c>
      <c r="EC51" s="73" t="s">
        <v>110</v>
      </c>
      <c r="ED51" s="73" t="s">
        <v>111</v>
      </c>
      <c r="EE51" s="74" t="s">
        <v>112</v>
      </c>
      <c r="EF51" s="75" t="s">
        <v>113</v>
      </c>
      <c r="EG51" s="72" t="s">
        <v>114</v>
      </c>
      <c r="EH51" s="73" t="s">
        <v>115</v>
      </c>
      <c r="EI51" s="74" t="s">
        <v>116</v>
      </c>
      <c r="EJ51" s="75" t="s">
        <v>117</v>
      </c>
      <c r="EK51" s="72" t="s">
        <v>118</v>
      </c>
      <c r="EL51" s="73" t="s">
        <v>119</v>
      </c>
      <c r="EM51" s="74" t="s">
        <v>120</v>
      </c>
      <c r="EN51" s="74" t="s">
        <v>121</v>
      </c>
      <c r="EO51" s="75" t="s">
        <v>122</v>
      </c>
      <c r="EP51" s="72" t="s">
        <v>123</v>
      </c>
      <c r="EQ51" s="73" t="s">
        <v>124</v>
      </c>
      <c r="ER51" s="74" t="s">
        <v>125</v>
      </c>
      <c r="ES51" s="74" t="s">
        <v>126</v>
      </c>
      <c r="ET51" s="75" t="s">
        <v>127</v>
      </c>
      <c r="EU51" s="149"/>
      <c r="EV51" s="76" t="s">
        <v>128</v>
      </c>
      <c r="EW51" s="76" t="s">
        <v>129</v>
      </c>
      <c r="EX51" s="76" t="s">
        <v>130</v>
      </c>
      <c r="EY51" s="77" t="s">
        <v>131</v>
      </c>
      <c r="FA51" s="76" t="s">
        <v>128</v>
      </c>
      <c r="FB51" s="76" t="s">
        <v>129</v>
      </c>
      <c r="FC51" s="76" t="s">
        <v>130</v>
      </c>
      <c r="FD51" s="77" t="s">
        <v>131</v>
      </c>
    </row>
    <row r="52" spans="1:160" ht="15">
      <c r="B52" s="240" t="s">
        <v>1</v>
      </c>
      <c r="C52" s="241"/>
      <c r="D52" s="79">
        <f>40+25+30</f>
        <v>95</v>
      </c>
      <c r="E52" s="80">
        <f>12+5+10</f>
        <v>27</v>
      </c>
      <c r="F52" s="81">
        <f>57+21+7</f>
        <v>85</v>
      </c>
      <c r="G52" s="81">
        <f>63+18+8</f>
        <v>89</v>
      </c>
      <c r="H52" s="81">
        <f>33+22+4</f>
        <v>59</v>
      </c>
      <c r="I52" s="82">
        <f>38+15+5</f>
        <v>58</v>
      </c>
      <c r="J52" s="80">
        <f>43+14+9</f>
        <v>66</v>
      </c>
      <c r="K52" s="81">
        <f>80+12+9</f>
        <v>101</v>
      </c>
      <c r="L52" s="81">
        <f>37+15+11</f>
        <v>63</v>
      </c>
      <c r="M52" s="81">
        <f>53+13+1</f>
        <v>67</v>
      </c>
      <c r="N52" s="82">
        <f>15+5+11</f>
        <v>31</v>
      </c>
      <c r="O52" s="80">
        <f>60+11+16</f>
        <v>87</v>
      </c>
      <c r="P52" s="81">
        <f>40+11+7</f>
        <v>58</v>
      </c>
      <c r="Q52" s="81">
        <f>11+4+3</f>
        <v>18</v>
      </c>
      <c r="R52" s="81">
        <f>23+7+3</f>
        <v>33</v>
      </c>
      <c r="S52" s="82">
        <f>23+2</f>
        <v>25</v>
      </c>
      <c r="T52" s="80">
        <f>42+6+0</f>
        <v>48</v>
      </c>
      <c r="U52" s="81">
        <f>23+5+3</f>
        <v>31</v>
      </c>
      <c r="V52" s="81">
        <f>34+6</f>
        <v>40</v>
      </c>
      <c r="W52" s="81">
        <f>31+6+8</f>
        <v>45</v>
      </c>
      <c r="X52" s="82">
        <f>12+8</f>
        <v>20</v>
      </c>
      <c r="Y52" s="80">
        <f>10+8+4</f>
        <v>22</v>
      </c>
      <c r="Z52" s="81">
        <f>28+15+7</f>
        <v>50</v>
      </c>
      <c r="AA52" s="81">
        <f>26+7+9</f>
        <v>42</v>
      </c>
      <c r="AB52" s="81">
        <f>19+12+5</f>
        <v>36</v>
      </c>
      <c r="AC52" s="82">
        <f>33+14+4</f>
        <v>51</v>
      </c>
      <c r="AD52" s="80">
        <f>46+6</f>
        <v>52</v>
      </c>
      <c r="AE52" s="81">
        <f>36+9+5</f>
        <v>50</v>
      </c>
      <c r="AF52" s="81">
        <f>34+8+10</f>
        <v>52</v>
      </c>
      <c r="AG52" s="81">
        <f>14+4+8</f>
        <v>26</v>
      </c>
      <c r="AH52" s="83">
        <f>23+11+5</f>
        <v>39</v>
      </c>
      <c r="AI52" s="83">
        <f>30+9+13</f>
        <v>52</v>
      </c>
      <c r="AJ52" s="82"/>
      <c r="AK52" s="80"/>
      <c r="AL52" s="81"/>
      <c r="AM52" s="81"/>
      <c r="AN52" s="81">
        <f>17+9</f>
        <v>26</v>
      </c>
      <c r="AO52" s="83">
        <f>38+16+12</f>
        <v>66</v>
      </c>
      <c r="AP52" s="83">
        <f>40+22+2</f>
        <v>64</v>
      </c>
      <c r="AQ52" s="82"/>
      <c r="AR52" s="80">
        <f>27+22+6</f>
        <v>55</v>
      </c>
      <c r="AS52" s="81">
        <f>30+34+10</f>
        <v>74</v>
      </c>
      <c r="AT52" s="81">
        <f>37+22+10</f>
        <v>69</v>
      </c>
      <c r="AU52" s="81">
        <f>40+24+7</f>
        <v>71</v>
      </c>
      <c r="AV52" s="83">
        <f>42+30+3</f>
        <v>75</v>
      </c>
      <c r="AW52" s="82">
        <v>0</v>
      </c>
      <c r="AX52" s="80"/>
      <c r="AY52" s="81"/>
      <c r="AZ52" s="81">
        <f>19+3+3</f>
        <v>25</v>
      </c>
      <c r="BA52" s="81">
        <f>87+3+2</f>
        <v>92</v>
      </c>
      <c r="BB52" s="81">
        <f>47+2+2</f>
        <v>51</v>
      </c>
      <c r="BC52" s="81">
        <f>50+2+4</f>
        <v>56</v>
      </c>
      <c r="BD52" s="81"/>
      <c r="BE52" s="82"/>
      <c r="BF52" s="80">
        <f>16+5+12</f>
        <v>33</v>
      </c>
      <c r="BG52" s="81">
        <f>31+8+9</f>
        <v>48</v>
      </c>
      <c r="BH52" s="81">
        <f>28+7+3</f>
        <v>38</v>
      </c>
      <c r="BI52" s="81">
        <f>29+5+4</f>
        <v>38</v>
      </c>
      <c r="BJ52" s="81">
        <f>34+2+16</f>
        <v>52</v>
      </c>
      <c r="BK52" s="81">
        <f>36+5+7</f>
        <v>48</v>
      </c>
      <c r="BL52" s="82"/>
      <c r="BM52" s="80">
        <f>52+2+4</f>
        <v>58</v>
      </c>
      <c r="BN52" s="81">
        <f>33+2+8</f>
        <v>43</v>
      </c>
      <c r="BO52" s="81">
        <f>42+4+2+13+2</f>
        <v>63</v>
      </c>
      <c r="BP52" s="81">
        <f>33+6+5+13</f>
        <v>57</v>
      </c>
      <c r="BQ52" s="81">
        <v>0</v>
      </c>
      <c r="BR52" s="81"/>
      <c r="BS52" s="82"/>
      <c r="BT52" s="80">
        <f>22+4+13</f>
        <v>39</v>
      </c>
      <c r="BU52" s="81">
        <f>42+5</f>
        <v>47</v>
      </c>
      <c r="BV52" s="81">
        <f>33+13+7+4+6+3</f>
        <v>66</v>
      </c>
      <c r="BW52" s="81">
        <f>48+8+3+18</f>
        <v>77</v>
      </c>
      <c r="BX52" s="81">
        <f>52+6+14+5</f>
        <v>77</v>
      </c>
      <c r="BY52" s="81"/>
      <c r="BZ52" s="83"/>
      <c r="CA52" s="79">
        <f>19+3</f>
        <v>22</v>
      </c>
      <c r="CB52" s="82">
        <f>25+1+3</f>
        <v>29</v>
      </c>
      <c r="CC52" s="79">
        <f>23+2</f>
        <v>25</v>
      </c>
      <c r="CD52" s="83">
        <f>87+19+7+5</f>
        <v>118</v>
      </c>
      <c r="CE52" s="83">
        <v>123</v>
      </c>
      <c r="CF52" s="83"/>
      <c r="CG52" s="82"/>
      <c r="CH52" s="80">
        <v>48</v>
      </c>
      <c r="CI52" s="83">
        <f>66+9+2</f>
        <v>77</v>
      </c>
      <c r="CJ52" s="81">
        <v>86</v>
      </c>
      <c r="CK52" s="81">
        <f>42+34+6+8</f>
        <v>90</v>
      </c>
      <c r="CL52" s="81">
        <f>40+27+10+6</f>
        <v>83</v>
      </c>
      <c r="CM52" s="81"/>
      <c r="CN52" s="83"/>
      <c r="CO52" s="80"/>
      <c r="CP52" s="81"/>
      <c r="CQ52" s="81"/>
      <c r="CR52" s="81">
        <f>38+5+10+15+1+20</f>
        <v>89</v>
      </c>
      <c r="CS52" s="81">
        <v>66</v>
      </c>
      <c r="CT52" s="81"/>
      <c r="CU52" s="83"/>
      <c r="CV52" s="80">
        <f>80+56</f>
        <v>136</v>
      </c>
      <c r="CW52" s="81">
        <f>8+21+3+15+4+11</f>
        <v>62</v>
      </c>
      <c r="CX52" s="81">
        <v>78</v>
      </c>
      <c r="CY52" s="81">
        <f>7+4+12+2+3+8</f>
        <v>36</v>
      </c>
      <c r="CZ52" s="81">
        <v>37</v>
      </c>
      <c r="DA52" s="81"/>
      <c r="DB52" s="83"/>
      <c r="DC52" s="80"/>
      <c r="DD52" s="81"/>
      <c r="DE52" s="81"/>
      <c r="DF52" s="81"/>
      <c r="DG52" s="71"/>
      <c r="DH52" s="80">
        <f>SUM(D52)</f>
        <v>95</v>
      </c>
      <c r="DI52" s="81">
        <f>SUM(E52:I52)</f>
        <v>318</v>
      </c>
      <c r="DJ52" s="81">
        <f>SUM(J52:N52)</f>
        <v>328</v>
      </c>
      <c r="DK52" s="83">
        <f>SUM(O52:S52)</f>
        <v>221</v>
      </c>
      <c r="DL52" s="82">
        <f>SUM(T52:X52)</f>
        <v>184</v>
      </c>
      <c r="DM52" s="80">
        <f>SUM(Y52:AC52)</f>
        <v>201</v>
      </c>
      <c r="DN52" s="81">
        <f>SUM(AD52:AJ52)</f>
        <v>271</v>
      </c>
      <c r="DO52" s="83">
        <f>SUM(AK52:AQ52)</f>
        <v>156</v>
      </c>
      <c r="DP52" s="82">
        <f>SUM(AR52:AW52)</f>
        <v>344</v>
      </c>
      <c r="DQ52" s="80">
        <f>SUM(AX52:BE52)</f>
        <v>224</v>
      </c>
      <c r="DR52" s="81">
        <f>SUM(BF52:BL52)</f>
        <v>257</v>
      </c>
      <c r="DS52" s="83">
        <f>SUM(BM52:BS52)</f>
        <v>221</v>
      </c>
      <c r="DT52" s="83">
        <f>SUM(BT52:BZ52)</f>
        <v>306</v>
      </c>
      <c r="DU52" s="82">
        <f>SUM(CA52:CB52)</f>
        <v>51</v>
      </c>
      <c r="DV52" s="80">
        <f>SUM(CC52:CG52)</f>
        <v>266</v>
      </c>
      <c r="DW52" s="81">
        <f>SUM(CH52:CN52)</f>
        <v>384</v>
      </c>
      <c r="DX52" s="83">
        <f>SUM(CO52:CU52)</f>
        <v>155</v>
      </c>
      <c r="DY52" s="83">
        <f>SUM(CV52:DB52)</f>
        <v>349</v>
      </c>
      <c r="DZ52" s="82">
        <f>SUM(CW52:DC52)</f>
        <v>213</v>
      </c>
      <c r="EB52" s="80">
        <f>AVERAGE(D52)</f>
        <v>95</v>
      </c>
      <c r="EC52" s="81">
        <f>AVERAGE(E52:I52)</f>
        <v>63.6</v>
      </c>
      <c r="ED52" s="81">
        <f>AVERAGE(J52:N52)</f>
        <v>65.599999999999994</v>
      </c>
      <c r="EE52" s="83">
        <f>AVERAGE(O52:S52)</f>
        <v>44.2</v>
      </c>
      <c r="EF52" s="82">
        <f>AVERAGE(T52:X52)</f>
        <v>36.799999999999997</v>
      </c>
      <c r="EG52" s="80">
        <f>AVERAGE(Y52:AC52)</f>
        <v>40.200000000000003</v>
      </c>
      <c r="EH52" s="81">
        <f>AVERAGE(AD52:AJ52)</f>
        <v>45.166666666666664</v>
      </c>
      <c r="EI52" s="83">
        <f>AVERAGE(AK52:AQ52)</f>
        <v>52</v>
      </c>
      <c r="EJ52" s="82">
        <f>AVERAGE(AR52:AW52)</f>
        <v>57.333333333333336</v>
      </c>
      <c r="EK52" s="80">
        <f>AVERAGE(AX52:BE52)</f>
        <v>56</v>
      </c>
      <c r="EL52" s="81">
        <f>AVERAGE(BF52:BL52)</f>
        <v>42.833333333333336</v>
      </c>
      <c r="EM52" s="83">
        <f>AVERAGE(BM52:BS52)</f>
        <v>44.2</v>
      </c>
      <c r="EN52" s="83">
        <f>AVERAGE(BT52:BZ52)</f>
        <v>61.2</v>
      </c>
      <c r="EO52" s="82">
        <f>AVERAGE(CA52:CB52)</f>
        <v>25.5</v>
      </c>
      <c r="EP52" s="80">
        <f>AVERAGE(CC52:CG52)</f>
        <v>88.666666666666671</v>
      </c>
      <c r="EQ52" s="81">
        <f>AVERAGE(CH52:CN52)</f>
        <v>76.8</v>
      </c>
      <c r="ER52" s="83"/>
      <c r="ES52" s="83"/>
      <c r="ET52" s="82"/>
      <c r="EV52" s="102">
        <f>SUM(DH52:DL52)</f>
        <v>1146</v>
      </c>
      <c r="EW52" s="102">
        <f>SUM(DM52:DP52)</f>
        <v>972</v>
      </c>
      <c r="EX52" s="102">
        <f>SUM(DQ52:DU52)</f>
        <v>1059</v>
      </c>
      <c r="EY52" s="103">
        <f>SUM(DV52:DZ52)</f>
        <v>1367</v>
      </c>
      <c r="FA52" s="102">
        <f>AVERAGE(EB52:EF52)</f>
        <v>61.04</v>
      </c>
      <c r="FB52" s="102">
        <f>AVERAGE(EG52:EJ52)</f>
        <v>48.675000000000004</v>
      </c>
      <c r="FC52" s="102">
        <f>AVERAGE(EK52:EO52)</f>
        <v>45.946666666666673</v>
      </c>
      <c r="FD52" s="103">
        <f>AVERAGE(EP52:ET52)</f>
        <v>82.733333333333334</v>
      </c>
    </row>
    <row r="53" spans="1:160" ht="15">
      <c r="B53" s="249" t="s">
        <v>2</v>
      </c>
      <c r="C53" s="250"/>
      <c r="D53" s="97">
        <f>56+22+15</f>
        <v>93</v>
      </c>
      <c r="E53" s="98">
        <f>40+20+20</f>
        <v>80</v>
      </c>
      <c r="F53" s="99">
        <f>35+20+15</f>
        <v>70</v>
      </c>
      <c r="G53" s="99">
        <f>49+29+11</f>
        <v>89</v>
      </c>
      <c r="H53" s="99">
        <f>37+12+10</f>
        <v>59</v>
      </c>
      <c r="I53" s="100">
        <f>53+15+5</f>
        <v>73</v>
      </c>
      <c r="J53" s="98">
        <f>43+16+6</f>
        <v>65</v>
      </c>
      <c r="K53" s="99">
        <f>48+22+8</f>
        <v>78</v>
      </c>
      <c r="L53" s="99">
        <f>49+16+7</f>
        <v>72</v>
      </c>
      <c r="M53" s="99">
        <f>43+12+4</f>
        <v>59</v>
      </c>
      <c r="N53" s="100">
        <f>35+17+11</f>
        <v>63</v>
      </c>
      <c r="O53" s="98">
        <f>55+6+8</f>
        <v>69</v>
      </c>
      <c r="P53" s="99">
        <f>23+5+8</f>
        <v>36</v>
      </c>
      <c r="Q53" s="99">
        <f>67+4+10</f>
        <v>81</v>
      </c>
      <c r="R53" s="99">
        <f>38+5+3</f>
        <v>46</v>
      </c>
      <c r="S53" s="100">
        <f>57+2+3</f>
        <v>62</v>
      </c>
      <c r="T53" s="98">
        <f>67+8+7</f>
        <v>82</v>
      </c>
      <c r="U53" s="99">
        <f>24+5+5</f>
        <v>34</v>
      </c>
      <c r="V53" s="99">
        <f>38+8+7</f>
        <v>53</v>
      </c>
      <c r="W53" s="99">
        <f>35+10+2</f>
        <v>47</v>
      </c>
      <c r="X53" s="100">
        <f>19+12+3</f>
        <v>34</v>
      </c>
      <c r="Y53" s="98">
        <f>32+18+4</f>
        <v>54</v>
      </c>
      <c r="Z53" s="99">
        <f>32+4+7</f>
        <v>43</v>
      </c>
      <c r="AA53" s="99">
        <f>32+5</f>
        <v>37</v>
      </c>
      <c r="AB53" s="99">
        <f>29+8</f>
        <v>37</v>
      </c>
      <c r="AC53" s="100">
        <f>24+2+6</f>
        <v>32</v>
      </c>
      <c r="AD53" s="98">
        <f>36+12</f>
        <v>48</v>
      </c>
      <c r="AE53" s="99">
        <f>28+4+9</f>
        <v>41</v>
      </c>
      <c r="AF53" s="99">
        <f>27+8+3</f>
        <v>38</v>
      </c>
      <c r="AG53" s="99">
        <f>33+14+14</f>
        <v>61</v>
      </c>
      <c r="AH53" s="101">
        <f>16+8+8</f>
        <v>32</v>
      </c>
      <c r="AI53" s="101">
        <f>10+23+3</f>
        <v>36</v>
      </c>
      <c r="AJ53" s="100"/>
      <c r="AK53" s="98"/>
      <c r="AL53" s="99"/>
      <c r="AM53" s="99"/>
      <c r="AN53" s="99">
        <f>31+18+7</f>
        <v>56</v>
      </c>
      <c r="AO53" s="101">
        <f>35+22+3</f>
        <v>60</v>
      </c>
      <c r="AP53" s="101">
        <v>0</v>
      </c>
      <c r="AQ53" s="100"/>
      <c r="AR53" s="98">
        <f>35+28+7</f>
        <v>70</v>
      </c>
      <c r="AS53" s="99">
        <f>49+37+20</f>
        <v>106</v>
      </c>
      <c r="AT53" s="99">
        <f>35+18+1</f>
        <v>54</v>
      </c>
      <c r="AU53" s="99">
        <f>44+25+9</f>
        <v>78</v>
      </c>
      <c r="AV53" s="101">
        <f>19+5+4</f>
        <v>28</v>
      </c>
      <c r="AW53" s="100">
        <v>0</v>
      </c>
      <c r="AX53" s="98"/>
      <c r="AY53" s="99"/>
      <c r="AZ53" s="99">
        <f>34+1+1</f>
        <v>36</v>
      </c>
      <c r="BA53" s="99">
        <f>35+2</f>
        <v>37</v>
      </c>
      <c r="BB53" s="99">
        <v>37</v>
      </c>
      <c r="BC53" s="99">
        <f>27+11</f>
        <v>38</v>
      </c>
      <c r="BD53" s="99"/>
      <c r="BE53" s="100"/>
      <c r="BF53" s="98">
        <f>27+14</f>
        <v>41</v>
      </c>
      <c r="BG53" s="99">
        <f>30+7</f>
        <v>37</v>
      </c>
      <c r="BH53" s="99">
        <f>30+3</f>
        <v>33</v>
      </c>
      <c r="BI53" s="99">
        <f>51+2+5</f>
        <v>58</v>
      </c>
      <c r="BJ53" s="99">
        <f>38+15</f>
        <v>53</v>
      </c>
      <c r="BK53" s="99"/>
      <c r="BL53" s="100"/>
      <c r="BM53" s="98">
        <f>98+6+6</f>
        <v>110</v>
      </c>
      <c r="BN53" s="99">
        <f>25+4+3</f>
        <v>32</v>
      </c>
      <c r="BO53" s="99">
        <f>26+4+5</f>
        <v>35</v>
      </c>
      <c r="BP53" s="99">
        <f>32+5+6+8</f>
        <v>51</v>
      </c>
      <c r="BQ53" s="99">
        <v>30</v>
      </c>
      <c r="BR53" s="99"/>
      <c r="BS53" s="100"/>
      <c r="BT53" s="98">
        <f>40+1+10</f>
        <v>51</v>
      </c>
      <c r="BU53" s="99">
        <f>6+1+3</f>
        <v>10</v>
      </c>
      <c r="BV53" s="99">
        <f>37+9+12+5+3</f>
        <v>66</v>
      </c>
      <c r="BW53" s="99">
        <f>37+8+5+12</f>
        <v>62</v>
      </c>
      <c r="BX53" s="99">
        <f>43+9+3+6+6+4</f>
        <v>71</v>
      </c>
      <c r="BY53" s="99"/>
      <c r="BZ53" s="101"/>
      <c r="CA53" s="97">
        <f>31+1+3+3</f>
        <v>38</v>
      </c>
      <c r="CB53" s="100">
        <f>23+6+11+8+1</f>
        <v>49</v>
      </c>
      <c r="CC53" s="97">
        <f>28+4+5</f>
        <v>37</v>
      </c>
      <c r="CD53" s="101">
        <f>20+31+6+10</f>
        <v>67</v>
      </c>
      <c r="CE53" s="101">
        <f>7+2+10+3+2</f>
        <v>24</v>
      </c>
      <c r="CF53" s="101"/>
      <c r="CG53" s="100"/>
      <c r="CH53" s="98">
        <v>21</v>
      </c>
      <c r="CI53" s="99">
        <f>6+2+2+2</f>
        <v>12</v>
      </c>
      <c r="CJ53" s="99">
        <f>45+13+12+37+4</f>
        <v>111</v>
      </c>
      <c r="CK53" s="99">
        <v>0</v>
      </c>
      <c r="CL53" s="99">
        <f>51+4+2+37+34</f>
        <v>128</v>
      </c>
      <c r="CM53" s="99"/>
      <c r="CN53" s="101"/>
      <c r="CO53" s="98"/>
      <c r="CP53" s="99"/>
      <c r="CQ53" s="99">
        <v>103</v>
      </c>
      <c r="CR53" s="99">
        <f>40+13+16</f>
        <v>69</v>
      </c>
      <c r="CS53" s="99">
        <v>110</v>
      </c>
      <c r="CT53" s="99"/>
      <c r="CU53" s="101"/>
      <c r="CV53" s="98">
        <f>36+32+11+35</f>
        <v>114</v>
      </c>
      <c r="CW53" s="99">
        <f>21+60+6+10</f>
        <v>97</v>
      </c>
      <c r="CX53" s="99">
        <v>92</v>
      </c>
      <c r="CY53" s="99">
        <f>31+11+12</f>
        <v>54</v>
      </c>
      <c r="CZ53" s="99">
        <v>64</v>
      </c>
      <c r="DA53" s="99"/>
      <c r="DB53" s="101"/>
      <c r="DC53" s="98"/>
      <c r="DD53" s="99"/>
      <c r="DE53" s="99"/>
      <c r="DF53" s="99"/>
      <c r="DG53" s="71"/>
      <c r="DH53" s="98">
        <f>SUM(D53)</f>
        <v>93</v>
      </c>
      <c r="DI53" s="99">
        <f>SUM(E53:I53)</f>
        <v>371</v>
      </c>
      <c r="DJ53" s="99">
        <f>SUM(J53:N53)</f>
        <v>337</v>
      </c>
      <c r="DK53" s="101">
        <f>SUM(O53:S53)</f>
        <v>294</v>
      </c>
      <c r="DL53" s="100">
        <f>SUM(T53:X53)</f>
        <v>250</v>
      </c>
      <c r="DM53" s="98">
        <f>SUM(Y53:AC53)</f>
        <v>203</v>
      </c>
      <c r="DN53" s="99">
        <f>SUM(AD53:AJ53)</f>
        <v>256</v>
      </c>
      <c r="DO53" s="101">
        <f>SUM(AK53:AQ53)</f>
        <v>116</v>
      </c>
      <c r="DP53" s="100">
        <f>SUM(AR53:AW53)</f>
        <v>336</v>
      </c>
      <c r="DQ53" s="98">
        <f>SUM(AX53:BE53)</f>
        <v>148</v>
      </c>
      <c r="DR53" s="99">
        <f>SUM(BF53:BL53)</f>
        <v>222</v>
      </c>
      <c r="DS53" s="101">
        <f>SUM(BM53:BS53)</f>
        <v>258</v>
      </c>
      <c r="DT53" s="101">
        <f>SUM(BT53:BZ53)</f>
        <v>260</v>
      </c>
      <c r="DU53" s="100">
        <f>SUM(CA53:CB53)</f>
        <v>87</v>
      </c>
      <c r="DV53" s="98">
        <f>SUM(CC53:CG53)</f>
        <v>128</v>
      </c>
      <c r="DW53" s="99">
        <f>SUM(CH53:CN53)</f>
        <v>272</v>
      </c>
      <c r="DX53" s="101">
        <f>SUM(CO53:CU53)</f>
        <v>282</v>
      </c>
      <c r="DY53" s="101">
        <f>SUM(CV53:DB53)</f>
        <v>421</v>
      </c>
      <c r="DZ53" s="100">
        <f>SUM(CW53:DC53)</f>
        <v>307</v>
      </c>
      <c r="EB53" s="98">
        <f>AVERAGE(D53)</f>
        <v>93</v>
      </c>
      <c r="EC53" s="99">
        <f>AVERAGE(E53:I53)</f>
        <v>74.2</v>
      </c>
      <c r="ED53" s="99">
        <f>AVERAGE(J53:N53)</f>
        <v>67.400000000000006</v>
      </c>
      <c r="EE53" s="101">
        <f>AVERAGE(O53:S53)</f>
        <v>58.8</v>
      </c>
      <c r="EF53" s="100">
        <f>AVERAGE(T53:X53)</f>
        <v>50</v>
      </c>
      <c r="EG53" s="98">
        <f>AVERAGE(Y53:AC53)</f>
        <v>40.6</v>
      </c>
      <c r="EH53" s="99">
        <f>AVERAGE(AD53:AJ53)</f>
        <v>42.666666666666664</v>
      </c>
      <c r="EI53" s="101">
        <f>AVERAGE(AK53:AQ53)</f>
        <v>38.666666666666664</v>
      </c>
      <c r="EJ53" s="100">
        <f>AVERAGE(AR53:AW53)</f>
        <v>56</v>
      </c>
      <c r="EK53" s="98">
        <f>AVERAGE(AX53:BE53)</f>
        <v>37</v>
      </c>
      <c r="EL53" s="99">
        <f>AVERAGE(BF53:BL53)</f>
        <v>44.4</v>
      </c>
      <c r="EM53" s="101">
        <f>AVERAGE(BM53:BS53)</f>
        <v>51.6</v>
      </c>
      <c r="EN53" s="101">
        <f>AVERAGE(BT53:BZ53)</f>
        <v>52</v>
      </c>
      <c r="EO53" s="100">
        <f>AVERAGE(CA53:CB53)</f>
        <v>43.5</v>
      </c>
      <c r="EP53" s="98">
        <f>AVERAGE(CC53:CG53)</f>
        <v>42.666666666666664</v>
      </c>
      <c r="EQ53" s="99">
        <f>AVERAGE(CH53:CN53)</f>
        <v>54.4</v>
      </c>
      <c r="ER53" s="101"/>
      <c r="ES53" s="101"/>
      <c r="ET53" s="100"/>
      <c r="EV53" s="102">
        <f>SUM(DH53:DL53)</f>
        <v>1345</v>
      </c>
      <c r="EW53" s="102">
        <f>SUM(DM53:DP53)</f>
        <v>911</v>
      </c>
      <c r="EX53" s="102">
        <f>SUM(DQ53:DU53)</f>
        <v>975</v>
      </c>
      <c r="EY53" s="103">
        <f>SUM(DV53:DZ53)</f>
        <v>1410</v>
      </c>
      <c r="FA53" s="102">
        <f>AVERAGE(EB53:EF53)</f>
        <v>68.679999999999993</v>
      </c>
      <c r="FB53" s="102">
        <f>AVERAGE(EG53:EJ53)</f>
        <v>44.483333333333334</v>
      </c>
      <c r="FC53" s="102">
        <f>AVERAGE(EK53:EO53)</f>
        <v>45.7</v>
      </c>
      <c r="FD53" s="103">
        <f>AVERAGE(EP53:ET53)</f>
        <v>48.533333333333331</v>
      </c>
    </row>
    <row r="54" spans="1:160" s="93" customFormat="1" ht="15">
      <c r="B54" s="244" t="s">
        <v>139</v>
      </c>
      <c r="C54" s="245"/>
      <c r="D54" s="151">
        <f t="shared" ref="D54:AI54" si="64">+D52+D53</f>
        <v>188</v>
      </c>
      <c r="E54" s="152">
        <f t="shared" si="64"/>
        <v>107</v>
      </c>
      <c r="F54" s="153">
        <f t="shared" si="64"/>
        <v>155</v>
      </c>
      <c r="G54" s="153">
        <f t="shared" si="64"/>
        <v>178</v>
      </c>
      <c r="H54" s="153">
        <f t="shared" si="64"/>
        <v>118</v>
      </c>
      <c r="I54" s="154">
        <f t="shared" si="64"/>
        <v>131</v>
      </c>
      <c r="J54" s="152">
        <f t="shared" si="64"/>
        <v>131</v>
      </c>
      <c r="K54" s="153">
        <f t="shared" si="64"/>
        <v>179</v>
      </c>
      <c r="L54" s="153">
        <f t="shared" si="64"/>
        <v>135</v>
      </c>
      <c r="M54" s="153">
        <f t="shared" si="64"/>
        <v>126</v>
      </c>
      <c r="N54" s="154">
        <f t="shared" si="64"/>
        <v>94</v>
      </c>
      <c r="O54" s="152">
        <f t="shared" si="64"/>
        <v>156</v>
      </c>
      <c r="P54" s="153">
        <f t="shared" si="64"/>
        <v>94</v>
      </c>
      <c r="Q54" s="153">
        <f t="shared" si="64"/>
        <v>99</v>
      </c>
      <c r="R54" s="153">
        <f t="shared" si="64"/>
        <v>79</v>
      </c>
      <c r="S54" s="154">
        <f t="shared" si="64"/>
        <v>87</v>
      </c>
      <c r="T54" s="152">
        <f t="shared" si="64"/>
        <v>130</v>
      </c>
      <c r="U54" s="153">
        <f t="shared" si="64"/>
        <v>65</v>
      </c>
      <c r="V54" s="153">
        <f t="shared" si="64"/>
        <v>93</v>
      </c>
      <c r="W54" s="153">
        <f t="shared" si="64"/>
        <v>92</v>
      </c>
      <c r="X54" s="154">
        <f t="shared" si="64"/>
        <v>54</v>
      </c>
      <c r="Y54" s="152">
        <f t="shared" si="64"/>
        <v>76</v>
      </c>
      <c r="Z54" s="153">
        <f t="shared" si="64"/>
        <v>93</v>
      </c>
      <c r="AA54" s="153">
        <f t="shared" si="64"/>
        <v>79</v>
      </c>
      <c r="AB54" s="153">
        <f t="shared" si="64"/>
        <v>73</v>
      </c>
      <c r="AC54" s="154">
        <f t="shared" si="64"/>
        <v>83</v>
      </c>
      <c r="AD54" s="152">
        <f t="shared" si="64"/>
        <v>100</v>
      </c>
      <c r="AE54" s="153">
        <f t="shared" si="64"/>
        <v>91</v>
      </c>
      <c r="AF54" s="153">
        <f t="shared" si="64"/>
        <v>90</v>
      </c>
      <c r="AG54" s="153">
        <f t="shared" si="64"/>
        <v>87</v>
      </c>
      <c r="AH54" s="155">
        <f t="shared" si="64"/>
        <v>71</v>
      </c>
      <c r="AI54" s="155">
        <f t="shared" si="64"/>
        <v>88</v>
      </c>
      <c r="AJ54" s="154">
        <f t="shared" ref="AJ54:BO54" si="65">+AJ52+AJ53</f>
        <v>0</v>
      </c>
      <c r="AK54" s="152">
        <f t="shared" si="65"/>
        <v>0</v>
      </c>
      <c r="AL54" s="153">
        <f t="shared" si="65"/>
        <v>0</v>
      </c>
      <c r="AM54" s="153">
        <f t="shared" si="65"/>
        <v>0</v>
      </c>
      <c r="AN54" s="153">
        <f t="shared" si="65"/>
        <v>82</v>
      </c>
      <c r="AO54" s="155">
        <f t="shared" si="65"/>
        <v>126</v>
      </c>
      <c r="AP54" s="155">
        <f t="shared" si="65"/>
        <v>64</v>
      </c>
      <c r="AQ54" s="154">
        <f t="shared" si="65"/>
        <v>0</v>
      </c>
      <c r="AR54" s="152">
        <f t="shared" si="65"/>
        <v>125</v>
      </c>
      <c r="AS54" s="153">
        <f t="shared" si="65"/>
        <v>180</v>
      </c>
      <c r="AT54" s="153">
        <f t="shared" si="65"/>
        <v>123</v>
      </c>
      <c r="AU54" s="153">
        <f t="shared" si="65"/>
        <v>149</v>
      </c>
      <c r="AV54" s="155">
        <f t="shared" si="65"/>
        <v>103</v>
      </c>
      <c r="AW54" s="154">
        <f t="shared" si="65"/>
        <v>0</v>
      </c>
      <c r="AX54" s="152">
        <f t="shared" si="65"/>
        <v>0</v>
      </c>
      <c r="AY54" s="153">
        <f t="shared" si="65"/>
        <v>0</v>
      </c>
      <c r="AZ54" s="153">
        <f t="shared" si="65"/>
        <v>61</v>
      </c>
      <c r="BA54" s="153">
        <f t="shared" si="65"/>
        <v>129</v>
      </c>
      <c r="BB54" s="153">
        <f t="shared" si="65"/>
        <v>88</v>
      </c>
      <c r="BC54" s="153">
        <f t="shared" si="65"/>
        <v>94</v>
      </c>
      <c r="BD54" s="153">
        <f t="shared" si="65"/>
        <v>0</v>
      </c>
      <c r="BE54" s="154">
        <f t="shared" si="65"/>
        <v>0</v>
      </c>
      <c r="BF54" s="152">
        <f t="shared" si="65"/>
        <v>74</v>
      </c>
      <c r="BG54" s="153">
        <f t="shared" si="65"/>
        <v>85</v>
      </c>
      <c r="BH54" s="153">
        <f t="shared" si="65"/>
        <v>71</v>
      </c>
      <c r="BI54" s="153">
        <f t="shared" si="65"/>
        <v>96</v>
      </c>
      <c r="BJ54" s="153">
        <f t="shared" si="65"/>
        <v>105</v>
      </c>
      <c r="BK54" s="153">
        <f t="shared" si="65"/>
        <v>48</v>
      </c>
      <c r="BL54" s="154">
        <f t="shared" si="65"/>
        <v>0</v>
      </c>
      <c r="BM54" s="152">
        <f t="shared" si="65"/>
        <v>168</v>
      </c>
      <c r="BN54" s="153">
        <f t="shared" si="65"/>
        <v>75</v>
      </c>
      <c r="BO54" s="153">
        <f t="shared" si="65"/>
        <v>98</v>
      </c>
      <c r="BP54" s="153">
        <f t="shared" ref="BP54:CU54" si="66">+BP52+BP53</f>
        <v>108</v>
      </c>
      <c r="BQ54" s="153">
        <f t="shared" si="66"/>
        <v>30</v>
      </c>
      <c r="BR54" s="153">
        <f t="shared" si="66"/>
        <v>0</v>
      </c>
      <c r="BS54" s="154">
        <f t="shared" si="66"/>
        <v>0</v>
      </c>
      <c r="BT54" s="152">
        <f t="shared" si="66"/>
        <v>90</v>
      </c>
      <c r="BU54" s="153">
        <f t="shared" si="66"/>
        <v>57</v>
      </c>
      <c r="BV54" s="153">
        <f t="shared" si="66"/>
        <v>132</v>
      </c>
      <c r="BW54" s="153">
        <f t="shared" si="66"/>
        <v>139</v>
      </c>
      <c r="BX54" s="153">
        <f t="shared" si="66"/>
        <v>148</v>
      </c>
      <c r="BY54" s="153">
        <f t="shared" si="66"/>
        <v>0</v>
      </c>
      <c r="BZ54" s="155">
        <f t="shared" si="66"/>
        <v>0</v>
      </c>
      <c r="CA54" s="151">
        <f t="shared" si="66"/>
        <v>60</v>
      </c>
      <c r="CB54" s="154">
        <f t="shared" si="66"/>
        <v>78</v>
      </c>
      <c r="CC54" s="151">
        <f t="shared" si="66"/>
        <v>62</v>
      </c>
      <c r="CD54" s="155">
        <f t="shared" si="66"/>
        <v>185</v>
      </c>
      <c r="CE54" s="155">
        <f t="shared" si="66"/>
        <v>147</v>
      </c>
      <c r="CF54" s="155">
        <f t="shared" si="66"/>
        <v>0</v>
      </c>
      <c r="CG54" s="154">
        <f t="shared" si="66"/>
        <v>0</v>
      </c>
      <c r="CH54" s="152">
        <f t="shared" si="66"/>
        <v>69</v>
      </c>
      <c r="CI54" s="153">
        <f t="shared" si="66"/>
        <v>89</v>
      </c>
      <c r="CJ54" s="153">
        <f t="shared" si="66"/>
        <v>197</v>
      </c>
      <c r="CK54" s="153">
        <f t="shared" si="66"/>
        <v>90</v>
      </c>
      <c r="CL54" s="153">
        <f t="shared" si="66"/>
        <v>211</v>
      </c>
      <c r="CM54" s="153">
        <f t="shared" si="66"/>
        <v>0</v>
      </c>
      <c r="CN54" s="155">
        <f t="shared" si="66"/>
        <v>0</v>
      </c>
      <c r="CO54" s="152">
        <f t="shared" si="66"/>
        <v>0</v>
      </c>
      <c r="CP54" s="153">
        <f t="shared" si="66"/>
        <v>0</v>
      </c>
      <c r="CQ54" s="153">
        <f t="shared" si="66"/>
        <v>103</v>
      </c>
      <c r="CR54" s="153">
        <f t="shared" si="66"/>
        <v>158</v>
      </c>
      <c r="CS54" s="153">
        <f t="shared" si="66"/>
        <v>176</v>
      </c>
      <c r="CT54" s="153">
        <f t="shared" si="66"/>
        <v>0</v>
      </c>
      <c r="CU54" s="155">
        <f t="shared" si="66"/>
        <v>0</v>
      </c>
      <c r="CV54" s="152">
        <f t="shared" ref="CV54:EA54" si="67">+CV52+CV53</f>
        <v>250</v>
      </c>
      <c r="CW54" s="153">
        <f t="shared" si="67"/>
        <v>159</v>
      </c>
      <c r="CX54" s="153">
        <f t="shared" si="67"/>
        <v>170</v>
      </c>
      <c r="CY54" s="153">
        <f t="shared" si="67"/>
        <v>90</v>
      </c>
      <c r="CZ54" s="153">
        <f t="shared" si="67"/>
        <v>101</v>
      </c>
      <c r="DA54" s="153">
        <f t="shared" si="67"/>
        <v>0</v>
      </c>
      <c r="DB54" s="155">
        <f t="shared" si="67"/>
        <v>0</v>
      </c>
      <c r="DC54" s="152">
        <f t="shared" si="67"/>
        <v>0</v>
      </c>
      <c r="DD54" s="153">
        <f t="shared" si="67"/>
        <v>0</v>
      </c>
      <c r="DE54" s="153">
        <f t="shared" si="67"/>
        <v>0</v>
      </c>
      <c r="DF54" s="153">
        <f t="shared" si="67"/>
        <v>0</v>
      </c>
      <c r="DG54" s="92"/>
      <c r="DH54" s="152">
        <f t="shared" ref="DH54:DZ54" si="68">+DH52+DH53</f>
        <v>188</v>
      </c>
      <c r="DI54" s="153">
        <f t="shared" si="68"/>
        <v>689</v>
      </c>
      <c r="DJ54" s="153">
        <f t="shared" si="68"/>
        <v>665</v>
      </c>
      <c r="DK54" s="153">
        <f t="shared" si="68"/>
        <v>515</v>
      </c>
      <c r="DL54" s="154">
        <f t="shared" si="68"/>
        <v>434</v>
      </c>
      <c r="DM54" s="152">
        <f t="shared" si="68"/>
        <v>404</v>
      </c>
      <c r="DN54" s="153">
        <f t="shared" si="68"/>
        <v>527</v>
      </c>
      <c r="DO54" s="153">
        <f t="shared" si="68"/>
        <v>272</v>
      </c>
      <c r="DP54" s="154">
        <f t="shared" si="68"/>
        <v>680</v>
      </c>
      <c r="DQ54" s="152">
        <f t="shared" si="68"/>
        <v>372</v>
      </c>
      <c r="DR54" s="153">
        <f t="shared" si="68"/>
        <v>479</v>
      </c>
      <c r="DS54" s="153">
        <f t="shared" si="68"/>
        <v>479</v>
      </c>
      <c r="DT54" s="153">
        <f t="shared" si="68"/>
        <v>566</v>
      </c>
      <c r="DU54" s="154">
        <f t="shared" si="68"/>
        <v>138</v>
      </c>
      <c r="DV54" s="152">
        <f t="shared" si="68"/>
        <v>394</v>
      </c>
      <c r="DW54" s="153">
        <f t="shared" si="68"/>
        <v>656</v>
      </c>
      <c r="DX54" s="153">
        <f t="shared" si="68"/>
        <v>437</v>
      </c>
      <c r="DY54" s="153">
        <f t="shared" si="68"/>
        <v>770</v>
      </c>
      <c r="DZ54" s="154">
        <f t="shared" si="68"/>
        <v>520</v>
      </c>
      <c r="EB54" s="152">
        <f t="shared" ref="EB54:ET54" si="69">+EB52+EB53</f>
        <v>188</v>
      </c>
      <c r="EC54" s="153">
        <f t="shared" si="69"/>
        <v>137.80000000000001</v>
      </c>
      <c r="ED54" s="153">
        <f t="shared" si="69"/>
        <v>133</v>
      </c>
      <c r="EE54" s="153">
        <f t="shared" si="69"/>
        <v>103</v>
      </c>
      <c r="EF54" s="154">
        <f t="shared" si="69"/>
        <v>86.8</v>
      </c>
      <c r="EG54" s="152">
        <f t="shared" si="69"/>
        <v>80.800000000000011</v>
      </c>
      <c r="EH54" s="153">
        <f t="shared" si="69"/>
        <v>87.833333333333329</v>
      </c>
      <c r="EI54" s="153">
        <f t="shared" si="69"/>
        <v>90.666666666666657</v>
      </c>
      <c r="EJ54" s="154">
        <f t="shared" si="69"/>
        <v>113.33333333333334</v>
      </c>
      <c r="EK54" s="152">
        <f t="shared" si="69"/>
        <v>93</v>
      </c>
      <c r="EL54" s="153">
        <f t="shared" si="69"/>
        <v>87.233333333333334</v>
      </c>
      <c r="EM54" s="153">
        <f t="shared" si="69"/>
        <v>95.800000000000011</v>
      </c>
      <c r="EN54" s="153">
        <f t="shared" si="69"/>
        <v>113.2</v>
      </c>
      <c r="EO54" s="154">
        <f t="shared" si="69"/>
        <v>69</v>
      </c>
      <c r="EP54" s="152">
        <f t="shared" si="69"/>
        <v>131.33333333333334</v>
      </c>
      <c r="EQ54" s="153">
        <f t="shared" si="69"/>
        <v>131.19999999999999</v>
      </c>
      <c r="ER54" s="153">
        <f t="shared" si="69"/>
        <v>0</v>
      </c>
      <c r="ES54" s="153">
        <f t="shared" si="69"/>
        <v>0</v>
      </c>
      <c r="ET54" s="154">
        <f t="shared" si="69"/>
        <v>0</v>
      </c>
      <c r="EV54" s="156">
        <f>+EV52+EV53</f>
        <v>2491</v>
      </c>
      <c r="EW54" s="156">
        <f>+EW52+EW53</f>
        <v>1883</v>
      </c>
      <c r="EX54" s="156">
        <f>+EX52+EX53</f>
        <v>2034</v>
      </c>
      <c r="EY54" s="157">
        <f>+EY52+EY53</f>
        <v>2777</v>
      </c>
      <c r="FA54" s="156">
        <f>+FA52+FA53</f>
        <v>129.72</v>
      </c>
      <c r="FB54" s="156">
        <f>+FB52+FB53</f>
        <v>93.158333333333331</v>
      </c>
      <c r="FC54" s="156">
        <f>+FC52+FC53</f>
        <v>91.646666666666675</v>
      </c>
      <c r="FD54" s="157">
        <f>+FD52+FD53</f>
        <v>131.26666666666665</v>
      </c>
    </row>
    <row r="55" spans="1:160" ht="15">
      <c r="B55" s="240" t="s">
        <v>1</v>
      </c>
      <c r="C55" s="241"/>
      <c r="D55" s="79">
        <v>50</v>
      </c>
      <c r="E55" s="80">
        <f>20</f>
        <v>20</v>
      </c>
      <c r="F55" s="81">
        <f>50</f>
        <v>50</v>
      </c>
      <c r="G55" s="81">
        <f>50</f>
        <v>50</v>
      </c>
      <c r="H55" s="81">
        <f>50</f>
        <v>50</v>
      </c>
      <c r="I55" s="82">
        <v>60</v>
      </c>
      <c r="J55" s="80">
        <v>30</v>
      </c>
      <c r="K55" s="81">
        <v>70</v>
      </c>
      <c r="L55" s="81">
        <v>30</v>
      </c>
      <c r="M55" s="81">
        <v>30</v>
      </c>
      <c r="N55" s="82">
        <v>20</v>
      </c>
      <c r="O55" s="80">
        <v>40</v>
      </c>
      <c r="P55" s="81">
        <v>30</v>
      </c>
      <c r="Q55" s="81">
        <v>10</v>
      </c>
      <c r="R55" s="81">
        <v>20</v>
      </c>
      <c r="S55" s="82">
        <v>20</v>
      </c>
      <c r="T55" s="80">
        <v>30</v>
      </c>
      <c r="U55" s="81">
        <v>20</v>
      </c>
      <c r="V55" s="81">
        <v>20</v>
      </c>
      <c r="W55" s="81">
        <v>20</v>
      </c>
      <c r="X55" s="82">
        <v>10</v>
      </c>
      <c r="Y55" s="80">
        <v>10</v>
      </c>
      <c r="Z55" s="81">
        <v>30</v>
      </c>
      <c r="AA55" s="81">
        <v>20</v>
      </c>
      <c r="AB55" s="81">
        <v>20</v>
      </c>
      <c r="AC55" s="82">
        <v>30</v>
      </c>
      <c r="AD55" s="80">
        <v>30</v>
      </c>
      <c r="AE55" s="81">
        <v>30</v>
      </c>
      <c r="AF55" s="81">
        <v>30</v>
      </c>
      <c r="AG55" s="81">
        <v>10</v>
      </c>
      <c r="AH55" s="83">
        <v>20</v>
      </c>
      <c r="AI55" s="83">
        <v>30</v>
      </c>
      <c r="AJ55" s="82"/>
      <c r="AK55" s="80"/>
      <c r="AL55" s="81"/>
      <c r="AM55" s="81"/>
      <c r="AN55" s="81">
        <v>20</v>
      </c>
      <c r="AO55" s="83">
        <v>30</v>
      </c>
      <c r="AP55" s="83">
        <v>30</v>
      </c>
      <c r="AQ55" s="82"/>
      <c r="AR55" s="80">
        <v>30</v>
      </c>
      <c r="AS55" s="81">
        <v>40</v>
      </c>
      <c r="AT55" s="81">
        <v>40</v>
      </c>
      <c r="AU55" s="81">
        <v>40</v>
      </c>
      <c r="AV55" s="83">
        <v>40</v>
      </c>
      <c r="AW55" s="82">
        <v>0</v>
      </c>
      <c r="AX55" s="80"/>
      <c r="AY55" s="81"/>
      <c r="AZ55" s="81">
        <v>20</v>
      </c>
      <c r="BA55" s="81">
        <v>50</v>
      </c>
      <c r="BB55" s="81">
        <v>30</v>
      </c>
      <c r="BC55" s="81">
        <v>30</v>
      </c>
      <c r="BD55" s="81"/>
      <c r="BE55" s="82"/>
      <c r="BF55" s="80">
        <v>20</v>
      </c>
      <c r="BG55" s="81">
        <v>20</v>
      </c>
      <c r="BH55" s="81">
        <v>30</v>
      </c>
      <c r="BI55" s="81">
        <v>20</v>
      </c>
      <c r="BJ55" s="81">
        <v>30</v>
      </c>
      <c r="BK55" s="81">
        <v>53</v>
      </c>
      <c r="BL55" s="82"/>
      <c r="BM55" s="80">
        <v>30</v>
      </c>
      <c r="BN55" s="81">
        <v>20</v>
      </c>
      <c r="BO55" s="81">
        <v>25</v>
      </c>
      <c r="BP55" s="81">
        <f>10+6+3+2+15</f>
        <v>36</v>
      </c>
      <c r="BQ55" s="81">
        <v>0</v>
      </c>
      <c r="BR55" s="81"/>
      <c r="BS55" s="82"/>
      <c r="BT55" s="80">
        <v>20</v>
      </c>
      <c r="BU55" s="81">
        <v>20</v>
      </c>
      <c r="BV55" s="81">
        <f>16.5+6.5+14+4+2+3+10+1.5</f>
        <v>57.5</v>
      </c>
      <c r="BW55" s="81">
        <v>51</v>
      </c>
      <c r="BX55" s="81">
        <f>15+3+3+10+1.5</f>
        <v>32.5</v>
      </c>
      <c r="BY55" s="81"/>
      <c r="BZ55" s="83"/>
      <c r="CA55" s="79">
        <f>20+9.5+1+0.5</f>
        <v>31</v>
      </c>
      <c r="CB55" s="82">
        <v>25</v>
      </c>
      <c r="CC55" s="79">
        <v>12</v>
      </c>
      <c r="CD55" s="83">
        <v>60</v>
      </c>
      <c r="CE55" s="83">
        <f>62+6+2+2+1</f>
        <v>73</v>
      </c>
      <c r="CF55" s="83"/>
      <c r="CG55" s="82"/>
      <c r="CH55" s="80">
        <v>37</v>
      </c>
      <c r="CI55" s="83">
        <f>43+4.5+1</f>
        <v>48.5</v>
      </c>
      <c r="CJ55" s="81">
        <v>57</v>
      </c>
      <c r="CK55" s="81">
        <f>21+17+3+4</f>
        <v>45</v>
      </c>
      <c r="CL55" s="81">
        <f>20+14+5+4</f>
        <v>43</v>
      </c>
      <c r="CM55" s="81"/>
      <c r="CN55" s="83"/>
      <c r="CO55" s="80"/>
      <c r="CP55" s="81"/>
      <c r="CQ55" s="81"/>
      <c r="CR55" s="81">
        <v>37</v>
      </c>
      <c r="CS55" s="81">
        <v>72</v>
      </c>
      <c r="CT55" s="81"/>
      <c r="CU55" s="83"/>
      <c r="CV55" s="80">
        <f>8+8+30+11</f>
        <v>57</v>
      </c>
      <c r="CW55" s="81">
        <f>4+10+11+27+13+20+9</f>
        <v>94</v>
      </c>
      <c r="CX55" s="81">
        <v>30</v>
      </c>
      <c r="CY55" s="81">
        <f>27+14</f>
        <v>41</v>
      </c>
      <c r="CZ55" s="81">
        <v>53</v>
      </c>
      <c r="DA55" s="81"/>
      <c r="DB55" s="83"/>
      <c r="DC55" s="80"/>
      <c r="DD55" s="81"/>
      <c r="DE55" s="81"/>
      <c r="DF55" s="81"/>
      <c r="DG55" s="71"/>
      <c r="DH55" s="80">
        <f>SUM(D55)</f>
        <v>50</v>
      </c>
      <c r="DI55" s="81">
        <f>SUM(E55:I55)</f>
        <v>230</v>
      </c>
      <c r="DJ55" s="81">
        <f>SUM(J55:N55)</f>
        <v>180</v>
      </c>
      <c r="DK55" s="83">
        <f>SUM(O55:S55)</f>
        <v>120</v>
      </c>
      <c r="DL55" s="82">
        <f>SUM(T55:X55)</f>
        <v>100</v>
      </c>
      <c r="DM55" s="80">
        <f>SUM(Y55:AC55)</f>
        <v>110</v>
      </c>
      <c r="DN55" s="81">
        <f>SUM(AD55:AJ55)</f>
        <v>150</v>
      </c>
      <c r="DO55" s="83">
        <f>SUM(AK55:AQ55)</f>
        <v>80</v>
      </c>
      <c r="DP55" s="82">
        <f>SUM(AR55:AW55)</f>
        <v>190</v>
      </c>
      <c r="DQ55" s="80">
        <f>SUM(AX55:BE55)</f>
        <v>130</v>
      </c>
      <c r="DR55" s="81">
        <f>SUM(BF55:BL55)</f>
        <v>173</v>
      </c>
      <c r="DS55" s="83">
        <f>SUM(BM55:BS55)</f>
        <v>111</v>
      </c>
      <c r="DT55" s="83">
        <f>SUM(BT55:BZ55)</f>
        <v>181</v>
      </c>
      <c r="DU55" s="82">
        <f>SUM(CA55:CB55)</f>
        <v>56</v>
      </c>
      <c r="DV55" s="80">
        <f>SUM(CC55:CG55)</f>
        <v>145</v>
      </c>
      <c r="DW55" s="81">
        <f>SUM(CH55:CN55)</f>
        <v>230.5</v>
      </c>
      <c r="DX55" s="83">
        <f>SUM(CO55:CU55)</f>
        <v>109</v>
      </c>
      <c r="DY55" s="83">
        <f t="shared" ref="DY55:DZ57" si="70">SUM(CV55:DB55)</f>
        <v>275</v>
      </c>
      <c r="DZ55" s="82">
        <f t="shared" si="70"/>
        <v>218</v>
      </c>
      <c r="EB55" s="80">
        <f>AVERAGE(D55)</f>
        <v>50</v>
      </c>
      <c r="EC55" s="81">
        <f>AVERAGE(E55:I55)</f>
        <v>46</v>
      </c>
      <c r="ED55" s="81">
        <f>AVERAGE(J55:N55)</f>
        <v>36</v>
      </c>
      <c r="EE55" s="83">
        <f>AVERAGE(O55:S55)</f>
        <v>24</v>
      </c>
      <c r="EF55" s="82">
        <f>AVERAGE(T55:X55)</f>
        <v>20</v>
      </c>
      <c r="EG55" s="80">
        <f>AVERAGE(Y55:AC55)</f>
        <v>22</v>
      </c>
      <c r="EH55" s="81">
        <f>AVERAGE(AD55:AJ55)</f>
        <v>25</v>
      </c>
      <c r="EI55" s="83">
        <f>AVERAGE(AK55:AQ55)</f>
        <v>26.666666666666668</v>
      </c>
      <c r="EJ55" s="82">
        <f>AVERAGE(AR55:AW55)</f>
        <v>31.666666666666668</v>
      </c>
      <c r="EK55" s="80">
        <f>AVERAGE(AX55:BE55)</f>
        <v>32.5</v>
      </c>
      <c r="EL55" s="81">
        <f>AVERAGE(BF55:BL55)</f>
        <v>28.833333333333332</v>
      </c>
      <c r="EM55" s="83">
        <f>AVERAGE(BM55:BS55)</f>
        <v>22.2</v>
      </c>
      <c r="EN55" s="83">
        <f>AVERAGE(BT55:BZ55)</f>
        <v>36.200000000000003</v>
      </c>
      <c r="EO55" s="82">
        <f>AVERAGE(CA55:CB55)</f>
        <v>28</v>
      </c>
      <c r="EP55" s="80">
        <f>AVERAGE(CC55:CG55)</f>
        <v>48.333333333333336</v>
      </c>
      <c r="EQ55" s="81">
        <f>AVERAGE(CH55:CN55)</f>
        <v>46.1</v>
      </c>
      <c r="ER55" s="83"/>
      <c r="ES55" s="83"/>
      <c r="ET55" s="82"/>
      <c r="EV55" s="84">
        <f>SUM(DH55:DL55)</f>
        <v>680</v>
      </c>
      <c r="EW55" s="84">
        <f>SUM(DM55:DP55)</f>
        <v>530</v>
      </c>
      <c r="EX55" s="84">
        <f>SUM(DQ55:DU55)</f>
        <v>651</v>
      </c>
      <c r="EY55" s="85">
        <f>SUM(DV55:DZ55)</f>
        <v>977.5</v>
      </c>
      <c r="FA55" s="84">
        <f>AVERAGE(EB55:EF55)</f>
        <v>35.200000000000003</v>
      </c>
      <c r="FB55" s="84">
        <f>AVERAGE(EG55:EJ55)</f>
        <v>26.333333333333336</v>
      </c>
      <c r="FC55" s="84">
        <f>AVERAGE(EK55:EO55)</f>
        <v>29.54666666666667</v>
      </c>
      <c r="FD55" s="85">
        <f>AVERAGE(EP55:ET55)</f>
        <v>47.216666666666669</v>
      </c>
    </row>
    <row r="56" spans="1:160" ht="15">
      <c r="B56" s="249" t="s">
        <v>2</v>
      </c>
      <c r="C56" s="250"/>
      <c r="D56" s="97">
        <v>50</v>
      </c>
      <c r="E56" s="98">
        <v>40</v>
      </c>
      <c r="F56" s="99">
        <v>40</v>
      </c>
      <c r="G56" s="99">
        <v>50</v>
      </c>
      <c r="H56" s="99">
        <v>30</v>
      </c>
      <c r="I56" s="100">
        <v>50</v>
      </c>
      <c r="J56" s="98">
        <v>30</v>
      </c>
      <c r="K56" s="99">
        <v>50</v>
      </c>
      <c r="L56" s="99">
        <v>40</v>
      </c>
      <c r="M56" s="99">
        <v>30</v>
      </c>
      <c r="N56" s="100">
        <v>30</v>
      </c>
      <c r="O56" s="98">
        <v>40</v>
      </c>
      <c r="P56" s="99">
        <v>20</v>
      </c>
      <c r="Q56" s="99">
        <v>50</v>
      </c>
      <c r="R56" s="99">
        <v>30</v>
      </c>
      <c r="S56" s="100">
        <v>50</v>
      </c>
      <c r="T56" s="98">
        <v>40</v>
      </c>
      <c r="U56" s="99">
        <v>20</v>
      </c>
      <c r="V56" s="99">
        <v>30</v>
      </c>
      <c r="W56" s="99">
        <v>20</v>
      </c>
      <c r="X56" s="100">
        <v>20</v>
      </c>
      <c r="Y56" s="98">
        <v>30</v>
      </c>
      <c r="Z56" s="99">
        <v>20</v>
      </c>
      <c r="AA56" s="99">
        <v>20</v>
      </c>
      <c r="AB56" s="99">
        <v>20</v>
      </c>
      <c r="AC56" s="100">
        <v>20</v>
      </c>
      <c r="AD56" s="98">
        <v>30</v>
      </c>
      <c r="AE56" s="99">
        <v>20</v>
      </c>
      <c r="AF56" s="99">
        <v>20</v>
      </c>
      <c r="AG56" s="99">
        <v>30</v>
      </c>
      <c r="AH56" s="101">
        <v>20</v>
      </c>
      <c r="AI56" s="101">
        <v>20</v>
      </c>
      <c r="AJ56" s="100"/>
      <c r="AK56" s="98"/>
      <c r="AL56" s="99"/>
      <c r="AM56" s="99"/>
      <c r="AN56" s="99">
        <v>30</v>
      </c>
      <c r="AO56" s="101">
        <v>30</v>
      </c>
      <c r="AP56" s="101">
        <v>0</v>
      </c>
      <c r="AQ56" s="100"/>
      <c r="AR56" s="98">
        <v>40</v>
      </c>
      <c r="AS56" s="99">
        <v>50</v>
      </c>
      <c r="AT56" s="99">
        <v>30</v>
      </c>
      <c r="AU56" s="99">
        <v>40</v>
      </c>
      <c r="AV56" s="101">
        <v>10</v>
      </c>
      <c r="AW56" s="100">
        <v>0</v>
      </c>
      <c r="AX56" s="98"/>
      <c r="AY56" s="99"/>
      <c r="AZ56" s="99">
        <v>20</v>
      </c>
      <c r="BA56" s="99">
        <v>20</v>
      </c>
      <c r="BB56" s="99">
        <v>20</v>
      </c>
      <c r="BC56" s="99">
        <v>20</v>
      </c>
      <c r="BD56" s="99"/>
      <c r="BE56" s="100"/>
      <c r="BF56" s="98">
        <v>20</v>
      </c>
      <c r="BG56" s="99">
        <v>20</v>
      </c>
      <c r="BH56" s="99">
        <v>20</v>
      </c>
      <c r="BI56" s="99">
        <v>30</v>
      </c>
      <c r="BJ56" s="99">
        <v>30</v>
      </c>
      <c r="BK56" s="99"/>
      <c r="BL56" s="100"/>
      <c r="BM56" s="98">
        <v>50</v>
      </c>
      <c r="BN56" s="99">
        <v>20</v>
      </c>
      <c r="BO56" s="99">
        <v>20</v>
      </c>
      <c r="BP56" s="99">
        <f>15+2+2</f>
        <v>19</v>
      </c>
      <c r="BQ56" s="99">
        <f>46+9</f>
        <v>55</v>
      </c>
      <c r="BR56" s="99"/>
      <c r="BS56" s="100"/>
      <c r="BT56" s="98">
        <v>30</v>
      </c>
      <c r="BU56" s="99">
        <v>5</v>
      </c>
      <c r="BV56" s="99">
        <f>10+10+8+3+2+3+40</f>
        <v>76</v>
      </c>
      <c r="BW56" s="99">
        <v>23</v>
      </c>
      <c r="BX56" s="99">
        <f>21.5+4.5+5+1.5+8</f>
        <v>40.5</v>
      </c>
      <c r="BY56" s="99"/>
      <c r="BZ56" s="101"/>
      <c r="CA56" s="97">
        <v>35</v>
      </c>
      <c r="CB56" s="100">
        <f>14+3+5.5+4+0.5</f>
        <v>27</v>
      </c>
      <c r="CC56" s="97">
        <f>8+1+1.5</f>
        <v>10.5</v>
      </c>
      <c r="CD56" s="101">
        <v>20</v>
      </c>
      <c r="CE56" s="101">
        <v>15</v>
      </c>
      <c r="CF56" s="101"/>
      <c r="CG56" s="100"/>
      <c r="CH56" s="98">
        <v>22</v>
      </c>
      <c r="CI56" s="99">
        <f>3+19+5+1</f>
        <v>28</v>
      </c>
      <c r="CJ56" s="99">
        <f>10+10+15+10+5</f>
        <v>50</v>
      </c>
      <c r="CK56" s="99">
        <f>45+45+8+13+21</f>
        <v>132</v>
      </c>
      <c r="CL56" s="99">
        <f>2+8+5+5+5</f>
        <v>25</v>
      </c>
      <c r="CM56" s="99"/>
      <c r="CN56" s="101"/>
      <c r="CO56" s="98"/>
      <c r="CP56" s="99"/>
      <c r="CQ56" s="99">
        <v>89</v>
      </c>
      <c r="CR56" s="99">
        <f>26+10</f>
        <v>36</v>
      </c>
      <c r="CS56" s="99">
        <v>54</v>
      </c>
      <c r="CT56" s="99"/>
      <c r="CU56" s="101"/>
      <c r="CV56" s="98">
        <f>18+16+5+10+7</f>
        <v>56</v>
      </c>
      <c r="CW56" s="99">
        <f>40+7</f>
        <v>47</v>
      </c>
      <c r="CX56" s="99">
        <v>47</v>
      </c>
      <c r="CY56" s="99">
        <f>16+6+6.5</f>
        <v>28.5</v>
      </c>
      <c r="CZ56" s="99">
        <v>44</v>
      </c>
      <c r="DA56" s="99"/>
      <c r="DB56" s="101"/>
      <c r="DC56" s="98"/>
      <c r="DD56" s="99"/>
      <c r="DE56" s="99"/>
      <c r="DF56" s="99"/>
      <c r="DG56" s="71"/>
      <c r="DH56" s="98">
        <f>SUM(D56)</f>
        <v>50</v>
      </c>
      <c r="DI56" s="99">
        <f>SUM(E56:I56)</f>
        <v>210</v>
      </c>
      <c r="DJ56" s="99">
        <f>SUM(J56:N56)</f>
        <v>180</v>
      </c>
      <c r="DK56" s="101">
        <f>SUM(O56:S56)</f>
        <v>190</v>
      </c>
      <c r="DL56" s="100">
        <f>SUM(T56:X56)</f>
        <v>130</v>
      </c>
      <c r="DM56" s="98">
        <f>SUM(Y56:AC56)</f>
        <v>110</v>
      </c>
      <c r="DN56" s="99">
        <f>SUM(AD56:AJ56)</f>
        <v>140</v>
      </c>
      <c r="DO56" s="101">
        <f>SUM(AK56:AQ56)</f>
        <v>60</v>
      </c>
      <c r="DP56" s="100">
        <f>SUM(AR56:AW56)</f>
        <v>170</v>
      </c>
      <c r="DQ56" s="98">
        <f>SUM(AX56:BE56)</f>
        <v>80</v>
      </c>
      <c r="DR56" s="99">
        <f>SUM(BF56:BL56)</f>
        <v>120</v>
      </c>
      <c r="DS56" s="101">
        <f>SUM(BM56:BS56)</f>
        <v>164</v>
      </c>
      <c r="DT56" s="101">
        <f>SUM(BT56:BZ56)</f>
        <v>174.5</v>
      </c>
      <c r="DU56" s="100">
        <f>SUM(CA56:CB56)</f>
        <v>62</v>
      </c>
      <c r="DV56" s="98">
        <f>SUM(CC56:CG56)</f>
        <v>45.5</v>
      </c>
      <c r="DW56" s="99">
        <f>SUM(CH56:CN56)</f>
        <v>257</v>
      </c>
      <c r="DX56" s="101">
        <f>SUM(CO56:CU56)</f>
        <v>179</v>
      </c>
      <c r="DY56" s="101">
        <f t="shared" si="70"/>
        <v>222.5</v>
      </c>
      <c r="DZ56" s="100">
        <f t="shared" si="70"/>
        <v>166.5</v>
      </c>
      <c r="EB56" s="98">
        <f>AVERAGE(D56)</f>
        <v>50</v>
      </c>
      <c r="EC56" s="99">
        <f>AVERAGE(E56:I56)</f>
        <v>42</v>
      </c>
      <c r="ED56" s="99">
        <f>AVERAGE(J56:N56)</f>
        <v>36</v>
      </c>
      <c r="EE56" s="101">
        <f>AVERAGE(O56:S56)</f>
        <v>38</v>
      </c>
      <c r="EF56" s="100">
        <f>AVERAGE(T56:X56)</f>
        <v>26</v>
      </c>
      <c r="EG56" s="98">
        <f>AVERAGE(Y56:AC56)</f>
        <v>22</v>
      </c>
      <c r="EH56" s="99">
        <f>AVERAGE(AD56:AJ56)</f>
        <v>23.333333333333332</v>
      </c>
      <c r="EI56" s="101">
        <f>AVERAGE(AK56:AQ56)</f>
        <v>20</v>
      </c>
      <c r="EJ56" s="100">
        <f>AVERAGE(AR56:AW56)</f>
        <v>28.333333333333332</v>
      </c>
      <c r="EK56" s="98">
        <f>AVERAGE(AX56:BE56)</f>
        <v>20</v>
      </c>
      <c r="EL56" s="99">
        <f>AVERAGE(BF56:BL56)</f>
        <v>24</v>
      </c>
      <c r="EM56" s="101">
        <f>AVERAGE(BM56:BS56)</f>
        <v>32.799999999999997</v>
      </c>
      <c r="EN56" s="101">
        <f>AVERAGE(BT56:BZ56)</f>
        <v>34.9</v>
      </c>
      <c r="EO56" s="100">
        <f>AVERAGE(CA56:CB56)</f>
        <v>31</v>
      </c>
      <c r="EP56" s="98">
        <f>AVERAGE(CC56:CG56)</f>
        <v>15.166666666666666</v>
      </c>
      <c r="EQ56" s="99">
        <f>AVERAGE(CH56:CN56)</f>
        <v>51.4</v>
      </c>
      <c r="ER56" s="101"/>
      <c r="ES56" s="101"/>
      <c r="ET56" s="100"/>
      <c r="EV56" s="102">
        <f>SUM(DH56:DL56)</f>
        <v>760</v>
      </c>
      <c r="EW56" s="102">
        <f>SUM(DM56:DP56)</f>
        <v>480</v>
      </c>
      <c r="EX56" s="102">
        <f>SUM(DQ56:DU56)</f>
        <v>600.5</v>
      </c>
      <c r="EY56" s="103">
        <f>SUM(DV56:DZ56)</f>
        <v>870.5</v>
      </c>
      <c r="FA56" s="102">
        <f>AVERAGE(EB56:EF56)</f>
        <v>38.4</v>
      </c>
      <c r="FB56" s="102">
        <f>AVERAGE(EG56:EJ56)</f>
        <v>23.416666666666664</v>
      </c>
      <c r="FC56" s="102">
        <f>AVERAGE(EK56:EO56)</f>
        <v>28.54</v>
      </c>
      <c r="FD56" s="103">
        <f>AVERAGE(EP56:ET56)</f>
        <v>33.283333333333331</v>
      </c>
    </row>
    <row r="57" spans="1:160" ht="15">
      <c r="B57" s="249" t="s">
        <v>140</v>
      </c>
      <c r="C57" s="250"/>
      <c r="D57" s="158">
        <v>0</v>
      </c>
      <c r="E57" s="159">
        <v>360</v>
      </c>
      <c r="F57" s="160">
        <v>60</v>
      </c>
      <c r="G57" s="160">
        <v>0</v>
      </c>
      <c r="H57" s="160">
        <v>0</v>
      </c>
      <c r="I57" s="161">
        <v>0</v>
      </c>
      <c r="J57" s="159">
        <f>40+20+40</f>
        <v>100</v>
      </c>
      <c r="K57" s="160">
        <v>0</v>
      </c>
      <c r="L57" s="160">
        <v>170</v>
      </c>
      <c r="M57" s="160">
        <v>0</v>
      </c>
      <c r="N57" s="161">
        <v>0</v>
      </c>
      <c r="O57" s="159">
        <f>90</f>
        <v>90</v>
      </c>
      <c r="P57" s="160">
        <v>0</v>
      </c>
      <c r="Q57" s="160">
        <v>0</v>
      </c>
      <c r="R57" s="160">
        <v>0</v>
      </c>
      <c r="S57" s="161">
        <v>0</v>
      </c>
      <c r="T57" s="159">
        <v>30</v>
      </c>
      <c r="U57" s="160">
        <v>0</v>
      </c>
      <c r="V57" s="160">
        <v>0</v>
      </c>
      <c r="W57" s="160">
        <v>0</v>
      </c>
      <c r="X57" s="161">
        <v>110</v>
      </c>
      <c r="Y57" s="159">
        <v>530</v>
      </c>
      <c r="Z57" s="160">
        <v>0</v>
      </c>
      <c r="AA57" s="160">
        <v>0</v>
      </c>
      <c r="AB57" s="160">
        <v>0</v>
      </c>
      <c r="AC57" s="161">
        <v>0</v>
      </c>
      <c r="AD57" s="159">
        <v>0</v>
      </c>
      <c r="AE57" s="160">
        <v>0</v>
      </c>
      <c r="AF57" s="160">
        <v>0</v>
      </c>
      <c r="AG57" s="160">
        <v>0</v>
      </c>
      <c r="AH57" s="162">
        <v>0</v>
      </c>
      <c r="AI57" s="162">
        <v>0</v>
      </c>
      <c r="AJ57" s="161"/>
      <c r="AK57" s="159"/>
      <c r="AL57" s="160"/>
      <c r="AM57" s="160"/>
      <c r="AN57" s="160">
        <v>0</v>
      </c>
      <c r="AO57" s="162">
        <v>0</v>
      </c>
      <c r="AP57" s="162">
        <v>0</v>
      </c>
      <c r="AQ57" s="161"/>
      <c r="AR57" s="159">
        <v>0</v>
      </c>
      <c r="AS57" s="160">
        <v>0</v>
      </c>
      <c r="AT57" s="160">
        <v>0</v>
      </c>
      <c r="AU57" s="160">
        <v>0</v>
      </c>
      <c r="AV57" s="162">
        <v>50</v>
      </c>
      <c r="AW57" s="161">
        <v>0</v>
      </c>
      <c r="AX57" s="159"/>
      <c r="AY57" s="160"/>
      <c r="AZ57" s="160">
        <v>300</v>
      </c>
      <c r="BA57" s="160">
        <v>40</v>
      </c>
      <c r="BB57" s="160">
        <v>0</v>
      </c>
      <c r="BC57" s="160">
        <v>0</v>
      </c>
      <c r="BD57" s="160"/>
      <c r="BE57" s="161"/>
      <c r="BF57" s="159">
        <v>0</v>
      </c>
      <c r="BG57" s="160">
        <v>0</v>
      </c>
      <c r="BH57" s="160">
        <v>0</v>
      </c>
      <c r="BI57" s="160">
        <v>30</v>
      </c>
      <c r="BJ57" s="160">
        <f>50+30</f>
        <v>80</v>
      </c>
      <c r="BK57" s="160"/>
      <c r="BL57" s="161"/>
      <c r="BM57" s="159">
        <v>0</v>
      </c>
      <c r="BN57" s="160">
        <v>0</v>
      </c>
      <c r="BO57" s="160">
        <v>0</v>
      </c>
      <c r="BP57" s="160">
        <v>0</v>
      </c>
      <c r="BQ57" s="160">
        <v>0</v>
      </c>
      <c r="BR57" s="160"/>
      <c r="BS57" s="161"/>
      <c r="BT57" s="159">
        <f>30+50</f>
        <v>80</v>
      </c>
      <c r="BU57" s="160">
        <v>0</v>
      </c>
      <c r="BV57" s="160">
        <v>0</v>
      </c>
      <c r="BW57" s="160">
        <v>0</v>
      </c>
      <c r="BX57" s="160">
        <v>0</v>
      </c>
      <c r="BY57" s="160"/>
      <c r="BZ57" s="162"/>
      <c r="CA57" s="158">
        <v>0</v>
      </c>
      <c r="CB57" s="161">
        <v>130</v>
      </c>
      <c r="CC57" s="158">
        <f>50+110+55</f>
        <v>215</v>
      </c>
      <c r="CD57" s="162">
        <v>5</v>
      </c>
      <c r="CE57" s="162">
        <f>60+60+25</f>
        <v>145</v>
      </c>
      <c r="CF57" s="162"/>
      <c r="CG57" s="161"/>
      <c r="CH57" s="159">
        <v>0</v>
      </c>
      <c r="CI57" s="162">
        <v>50</v>
      </c>
      <c r="CJ57" s="160">
        <f>45+15</f>
        <v>60</v>
      </c>
      <c r="CK57" s="160">
        <v>0</v>
      </c>
      <c r="CL57" s="160">
        <v>0</v>
      </c>
      <c r="CM57" s="160"/>
      <c r="CN57" s="162"/>
      <c r="CO57" s="159"/>
      <c r="CP57" s="160"/>
      <c r="CQ57" s="160"/>
      <c r="CR57" s="160">
        <v>27</v>
      </c>
      <c r="CS57" s="160">
        <v>0</v>
      </c>
      <c r="CT57" s="160"/>
      <c r="CU57" s="162"/>
      <c r="CV57" s="159">
        <v>0</v>
      </c>
      <c r="CW57" s="160">
        <v>0</v>
      </c>
      <c r="CX57" s="160">
        <v>0</v>
      </c>
      <c r="CY57" s="160">
        <v>0</v>
      </c>
      <c r="CZ57" s="160">
        <v>0</v>
      </c>
      <c r="DA57" s="160"/>
      <c r="DB57" s="162"/>
      <c r="DC57" s="159"/>
      <c r="DD57" s="160"/>
      <c r="DE57" s="160"/>
      <c r="DF57" s="160"/>
      <c r="DG57" s="71"/>
      <c r="DH57" s="159">
        <f>SUM(D57)</f>
        <v>0</v>
      </c>
      <c r="DI57" s="160">
        <f>SUM(E57:I57)</f>
        <v>420</v>
      </c>
      <c r="DJ57" s="160">
        <f>SUM(J57:N57)</f>
        <v>270</v>
      </c>
      <c r="DK57" s="162">
        <f>SUM(O57:S57)</f>
        <v>90</v>
      </c>
      <c r="DL57" s="161">
        <f>SUM(T57:X57)</f>
        <v>140</v>
      </c>
      <c r="DM57" s="159">
        <f>SUM(Y57:AC57)</f>
        <v>530</v>
      </c>
      <c r="DN57" s="160">
        <f>SUM(AD57:AJ57)</f>
        <v>0</v>
      </c>
      <c r="DO57" s="162">
        <f>SUM(AK57:AQ57)</f>
        <v>0</v>
      </c>
      <c r="DP57" s="161">
        <f>SUM(AR57:AW57)</f>
        <v>50</v>
      </c>
      <c r="DQ57" s="159">
        <f>SUM(AX57:BE57)</f>
        <v>340</v>
      </c>
      <c r="DR57" s="160">
        <f>SUM(BF57:BL57)</f>
        <v>110</v>
      </c>
      <c r="DS57" s="162">
        <f>SUM(BM57:BS57)</f>
        <v>0</v>
      </c>
      <c r="DT57" s="162">
        <f>SUM(BT57:BZ57)</f>
        <v>80</v>
      </c>
      <c r="DU57" s="161">
        <f>SUM(CA57:CB57)</f>
        <v>130</v>
      </c>
      <c r="DV57" s="159">
        <f>SUM(CC57:CG57)</f>
        <v>365</v>
      </c>
      <c r="DW57" s="160">
        <f>SUM(CH57:CN57)</f>
        <v>110</v>
      </c>
      <c r="DX57" s="162">
        <f>SUM(CO57:CU57)</f>
        <v>27</v>
      </c>
      <c r="DY57" s="162">
        <f t="shared" si="70"/>
        <v>0</v>
      </c>
      <c r="DZ57" s="161">
        <f t="shared" si="70"/>
        <v>0</v>
      </c>
      <c r="EB57" s="159">
        <f>AVERAGE(D57)</f>
        <v>0</v>
      </c>
      <c r="EC57" s="160">
        <f>AVERAGE(E57:I57)</f>
        <v>84</v>
      </c>
      <c r="ED57" s="160">
        <f>AVERAGE(J57:N57)</f>
        <v>54</v>
      </c>
      <c r="EE57" s="162">
        <f>AVERAGE(O57:S57)</f>
        <v>18</v>
      </c>
      <c r="EF57" s="161">
        <f>AVERAGE(T57:X57)</f>
        <v>28</v>
      </c>
      <c r="EG57" s="159">
        <f>AVERAGE(Y57:AC57)</f>
        <v>106</v>
      </c>
      <c r="EH57" s="160">
        <f>AVERAGE(AD57:AJ57)</f>
        <v>0</v>
      </c>
      <c r="EI57" s="162">
        <f>AVERAGE(AK57:AQ57)</f>
        <v>0</v>
      </c>
      <c r="EJ57" s="161">
        <f>AVERAGE(AR57:AW57)</f>
        <v>8.3333333333333339</v>
      </c>
      <c r="EK57" s="159">
        <f>AVERAGE(AX57:BE57)</f>
        <v>85</v>
      </c>
      <c r="EL57" s="160">
        <f>AVERAGE(BF57:BL57)</f>
        <v>22</v>
      </c>
      <c r="EM57" s="162">
        <f>AVERAGE(BM57:BS57)</f>
        <v>0</v>
      </c>
      <c r="EN57" s="162">
        <f>AVERAGE(BT57:BZ57)</f>
        <v>16</v>
      </c>
      <c r="EO57" s="161">
        <f>AVERAGE(CA57:CB57)</f>
        <v>65</v>
      </c>
      <c r="EP57" s="159">
        <f>AVERAGE(CC57:CG57)</f>
        <v>121.66666666666667</v>
      </c>
      <c r="EQ57" s="160">
        <f>AVERAGE(CH57:CN57)</f>
        <v>22</v>
      </c>
      <c r="ER57" s="162"/>
      <c r="ES57" s="162"/>
      <c r="ET57" s="161"/>
      <c r="EV57" s="163">
        <f>SUM(DH57:DL57)</f>
        <v>920</v>
      </c>
      <c r="EW57" s="163">
        <f>SUM(DM57:DP57)</f>
        <v>580</v>
      </c>
      <c r="EX57" s="163">
        <f>SUM(DQ57:DU57)</f>
        <v>660</v>
      </c>
      <c r="EY57" s="164">
        <f>SUM(DV57:DZ57)</f>
        <v>502</v>
      </c>
      <c r="FA57" s="163">
        <f>AVERAGE(EB57:EF57)</f>
        <v>36.799999999999997</v>
      </c>
      <c r="FB57" s="163">
        <f>AVERAGE(EG57:EJ57)</f>
        <v>28.583333333333332</v>
      </c>
      <c r="FC57" s="163">
        <f>AVERAGE(EK57:EO57)</f>
        <v>37.6</v>
      </c>
      <c r="FD57" s="164">
        <f>AVERAGE(EP57:ET57)</f>
        <v>71.833333333333343</v>
      </c>
    </row>
    <row r="58" spans="1:160" s="93" customFormat="1" ht="12.75" customHeight="1" thickBot="1">
      <c r="B58" s="252" t="s">
        <v>141</v>
      </c>
      <c r="C58" s="253"/>
      <c r="D58" s="165">
        <f t="shared" ref="D58:AI58" si="71">SUM(D55:D57)</f>
        <v>100</v>
      </c>
      <c r="E58" s="166">
        <f t="shared" si="71"/>
        <v>420</v>
      </c>
      <c r="F58" s="167">
        <f t="shared" si="71"/>
        <v>150</v>
      </c>
      <c r="G58" s="167">
        <f t="shared" si="71"/>
        <v>100</v>
      </c>
      <c r="H58" s="167">
        <f t="shared" si="71"/>
        <v>80</v>
      </c>
      <c r="I58" s="168">
        <f t="shared" si="71"/>
        <v>110</v>
      </c>
      <c r="J58" s="166">
        <f t="shared" si="71"/>
        <v>160</v>
      </c>
      <c r="K58" s="167">
        <f t="shared" si="71"/>
        <v>120</v>
      </c>
      <c r="L58" s="167">
        <f t="shared" si="71"/>
        <v>240</v>
      </c>
      <c r="M58" s="167">
        <f t="shared" si="71"/>
        <v>60</v>
      </c>
      <c r="N58" s="168">
        <f t="shared" si="71"/>
        <v>50</v>
      </c>
      <c r="O58" s="166">
        <f t="shared" si="71"/>
        <v>170</v>
      </c>
      <c r="P58" s="167">
        <f t="shared" si="71"/>
        <v>50</v>
      </c>
      <c r="Q58" s="167">
        <f t="shared" si="71"/>
        <v>60</v>
      </c>
      <c r="R58" s="167">
        <f t="shared" si="71"/>
        <v>50</v>
      </c>
      <c r="S58" s="168">
        <f t="shared" si="71"/>
        <v>70</v>
      </c>
      <c r="T58" s="166">
        <f t="shared" si="71"/>
        <v>100</v>
      </c>
      <c r="U58" s="167">
        <f t="shared" si="71"/>
        <v>40</v>
      </c>
      <c r="V58" s="167">
        <f t="shared" si="71"/>
        <v>50</v>
      </c>
      <c r="W58" s="167">
        <f t="shared" si="71"/>
        <v>40</v>
      </c>
      <c r="X58" s="168">
        <f t="shared" si="71"/>
        <v>140</v>
      </c>
      <c r="Y58" s="166">
        <f t="shared" si="71"/>
        <v>570</v>
      </c>
      <c r="Z58" s="167">
        <f t="shared" si="71"/>
        <v>50</v>
      </c>
      <c r="AA58" s="167">
        <f t="shared" si="71"/>
        <v>40</v>
      </c>
      <c r="AB58" s="167">
        <f t="shared" si="71"/>
        <v>40</v>
      </c>
      <c r="AC58" s="168">
        <f t="shared" si="71"/>
        <v>50</v>
      </c>
      <c r="AD58" s="166">
        <f t="shared" si="71"/>
        <v>60</v>
      </c>
      <c r="AE58" s="167">
        <f t="shared" si="71"/>
        <v>50</v>
      </c>
      <c r="AF58" s="167">
        <f t="shared" si="71"/>
        <v>50</v>
      </c>
      <c r="AG58" s="167">
        <f t="shared" si="71"/>
        <v>40</v>
      </c>
      <c r="AH58" s="169">
        <f t="shared" si="71"/>
        <v>40</v>
      </c>
      <c r="AI58" s="169">
        <f t="shared" si="71"/>
        <v>50</v>
      </c>
      <c r="AJ58" s="168">
        <f t="shared" ref="AJ58:BO58" si="72">SUM(AJ55:AJ57)</f>
        <v>0</v>
      </c>
      <c r="AK58" s="166">
        <f t="shared" si="72"/>
        <v>0</v>
      </c>
      <c r="AL58" s="167">
        <f t="shared" si="72"/>
        <v>0</v>
      </c>
      <c r="AM58" s="167">
        <f t="shared" si="72"/>
        <v>0</v>
      </c>
      <c r="AN58" s="167">
        <f t="shared" si="72"/>
        <v>50</v>
      </c>
      <c r="AO58" s="169">
        <f t="shared" si="72"/>
        <v>60</v>
      </c>
      <c r="AP58" s="169">
        <f t="shared" si="72"/>
        <v>30</v>
      </c>
      <c r="AQ58" s="168">
        <f t="shared" si="72"/>
        <v>0</v>
      </c>
      <c r="AR58" s="166">
        <f t="shared" si="72"/>
        <v>70</v>
      </c>
      <c r="AS58" s="167">
        <f t="shared" si="72"/>
        <v>90</v>
      </c>
      <c r="AT58" s="167">
        <f t="shared" si="72"/>
        <v>70</v>
      </c>
      <c r="AU58" s="167">
        <f t="shared" si="72"/>
        <v>80</v>
      </c>
      <c r="AV58" s="169">
        <f t="shared" si="72"/>
        <v>100</v>
      </c>
      <c r="AW58" s="168">
        <f t="shared" si="72"/>
        <v>0</v>
      </c>
      <c r="AX58" s="166">
        <f t="shared" si="72"/>
        <v>0</v>
      </c>
      <c r="AY58" s="167">
        <f t="shared" si="72"/>
        <v>0</v>
      </c>
      <c r="AZ58" s="167">
        <f t="shared" si="72"/>
        <v>340</v>
      </c>
      <c r="BA58" s="167">
        <f t="shared" si="72"/>
        <v>110</v>
      </c>
      <c r="BB58" s="167">
        <f t="shared" si="72"/>
        <v>50</v>
      </c>
      <c r="BC58" s="167">
        <f t="shared" si="72"/>
        <v>50</v>
      </c>
      <c r="BD58" s="167">
        <f t="shared" si="72"/>
        <v>0</v>
      </c>
      <c r="BE58" s="168">
        <f t="shared" si="72"/>
        <v>0</v>
      </c>
      <c r="BF58" s="166">
        <f t="shared" si="72"/>
        <v>40</v>
      </c>
      <c r="BG58" s="167">
        <f t="shared" si="72"/>
        <v>40</v>
      </c>
      <c r="BH58" s="167">
        <f t="shared" si="72"/>
        <v>50</v>
      </c>
      <c r="BI58" s="167">
        <f t="shared" si="72"/>
        <v>80</v>
      </c>
      <c r="BJ58" s="167">
        <f t="shared" si="72"/>
        <v>140</v>
      </c>
      <c r="BK58" s="167">
        <f t="shared" si="72"/>
        <v>53</v>
      </c>
      <c r="BL58" s="168">
        <f t="shared" si="72"/>
        <v>0</v>
      </c>
      <c r="BM58" s="166">
        <f t="shared" si="72"/>
        <v>80</v>
      </c>
      <c r="BN58" s="167">
        <f t="shared" si="72"/>
        <v>40</v>
      </c>
      <c r="BO58" s="167">
        <f t="shared" si="72"/>
        <v>45</v>
      </c>
      <c r="BP58" s="167">
        <f t="shared" ref="BP58:CU58" si="73">SUM(BP55:BP57)</f>
        <v>55</v>
      </c>
      <c r="BQ58" s="167">
        <f t="shared" si="73"/>
        <v>55</v>
      </c>
      <c r="BR58" s="167">
        <f t="shared" si="73"/>
        <v>0</v>
      </c>
      <c r="BS58" s="168">
        <f t="shared" si="73"/>
        <v>0</v>
      </c>
      <c r="BT58" s="166">
        <f t="shared" si="73"/>
        <v>130</v>
      </c>
      <c r="BU58" s="167">
        <f t="shared" si="73"/>
        <v>25</v>
      </c>
      <c r="BV58" s="167">
        <f t="shared" si="73"/>
        <v>133.5</v>
      </c>
      <c r="BW58" s="167">
        <f t="shared" si="73"/>
        <v>74</v>
      </c>
      <c r="BX58" s="167">
        <f t="shared" si="73"/>
        <v>73</v>
      </c>
      <c r="BY58" s="167">
        <f t="shared" si="73"/>
        <v>0</v>
      </c>
      <c r="BZ58" s="169">
        <f t="shared" si="73"/>
        <v>0</v>
      </c>
      <c r="CA58" s="165">
        <f t="shared" si="73"/>
        <v>66</v>
      </c>
      <c r="CB58" s="168">
        <f t="shared" si="73"/>
        <v>182</v>
      </c>
      <c r="CC58" s="165">
        <f t="shared" si="73"/>
        <v>237.5</v>
      </c>
      <c r="CD58" s="169">
        <f t="shared" si="73"/>
        <v>85</v>
      </c>
      <c r="CE58" s="169">
        <f t="shared" si="73"/>
        <v>233</v>
      </c>
      <c r="CF58" s="169">
        <f t="shared" si="73"/>
        <v>0</v>
      </c>
      <c r="CG58" s="168">
        <f t="shared" si="73"/>
        <v>0</v>
      </c>
      <c r="CH58" s="166">
        <f t="shared" si="73"/>
        <v>59</v>
      </c>
      <c r="CI58" s="167">
        <f t="shared" si="73"/>
        <v>126.5</v>
      </c>
      <c r="CJ58" s="167">
        <f t="shared" si="73"/>
        <v>167</v>
      </c>
      <c r="CK58" s="167">
        <f t="shared" si="73"/>
        <v>177</v>
      </c>
      <c r="CL58" s="167">
        <f t="shared" si="73"/>
        <v>68</v>
      </c>
      <c r="CM58" s="167">
        <f t="shared" si="73"/>
        <v>0</v>
      </c>
      <c r="CN58" s="169">
        <f t="shared" si="73"/>
        <v>0</v>
      </c>
      <c r="CO58" s="166">
        <f t="shared" si="73"/>
        <v>0</v>
      </c>
      <c r="CP58" s="167">
        <f t="shared" si="73"/>
        <v>0</v>
      </c>
      <c r="CQ58" s="167">
        <f t="shared" si="73"/>
        <v>89</v>
      </c>
      <c r="CR58" s="167">
        <f t="shared" si="73"/>
        <v>100</v>
      </c>
      <c r="CS58" s="167">
        <f t="shared" si="73"/>
        <v>126</v>
      </c>
      <c r="CT58" s="167">
        <f t="shared" si="73"/>
        <v>0</v>
      </c>
      <c r="CU58" s="169">
        <f t="shared" si="73"/>
        <v>0</v>
      </c>
      <c r="CV58" s="166">
        <f t="shared" ref="CV58:EA58" si="74">SUM(CV55:CV57)</f>
        <v>113</v>
      </c>
      <c r="CW58" s="167">
        <f t="shared" si="74"/>
        <v>141</v>
      </c>
      <c r="CX58" s="167">
        <f t="shared" si="74"/>
        <v>77</v>
      </c>
      <c r="CY58" s="167">
        <f t="shared" si="74"/>
        <v>69.5</v>
      </c>
      <c r="CZ58" s="167">
        <f t="shared" si="74"/>
        <v>97</v>
      </c>
      <c r="DA58" s="167">
        <f t="shared" si="74"/>
        <v>0</v>
      </c>
      <c r="DB58" s="169">
        <f t="shared" si="74"/>
        <v>0</v>
      </c>
      <c r="DC58" s="166">
        <f t="shared" si="74"/>
        <v>0</v>
      </c>
      <c r="DD58" s="167">
        <f t="shared" si="74"/>
        <v>0</v>
      </c>
      <c r="DE58" s="167">
        <f t="shared" si="74"/>
        <v>0</v>
      </c>
      <c r="DF58" s="167">
        <f t="shared" si="74"/>
        <v>0</v>
      </c>
      <c r="DG58" s="92"/>
      <c r="DH58" s="166">
        <f t="shared" ref="DH58:DZ58" si="75">SUM(DH55:DH57)</f>
        <v>100</v>
      </c>
      <c r="DI58" s="167">
        <f t="shared" si="75"/>
        <v>860</v>
      </c>
      <c r="DJ58" s="167">
        <f t="shared" si="75"/>
        <v>630</v>
      </c>
      <c r="DK58" s="167">
        <f t="shared" si="75"/>
        <v>400</v>
      </c>
      <c r="DL58" s="168">
        <f t="shared" si="75"/>
        <v>370</v>
      </c>
      <c r="DM58" s="166">
        <f t="shared" si="75"/>
        <v>750</v>
      </c>
      <c r="DN58" s="167">
        <f t="shared" si="75"/>
        <v>290</v>
      </c>
      <c r="DO58" s="167">
        <f t="shared" si="75"/>
        <v>140</v>
      </c>
      <c r="DP58" s="168">
        <f t="shared" si="75"/>
        <v>410</v>
      </c>
      <c r="DQ58" s="166">
        <f t="shared" si="75"/>
        <v>550</v>
      </c>
      <c r="DR58" s="167">
        <f t="shared" si="75"/>
        <v>403</v>
      </c>
      <c r="DS58" s="167">
        <f t="shared" si="75"/>
        <v>275</v>
      </c>
      <c r="DT58" s="167">
        <f t="shared" si="75"/>
        <v>435.5</v>
      </c>
      <c r="DU58" s="168">
        <f t="shared" si="75"/>
        <v>248</v>
      </c>
      <c r="DV58" s="166">
        <f t="shared" si="75"/>
        <v>555.5</v>
      </c>
      <c r="DW58" s="167">
        <f t="shared" si="75"/>
        <v>597.5</v>
      </c>
      <c r="DX58" s="167">
        <f t="shared" si="75"/>
        <v>315</v>
      </c>
      <c r="DY58" s="167">
        <f t="shared" si="75"/>
        <v>497.5</v>
      </c>
      <c r="DZ58" s="168">
        <f t="shared" si="75"/>
        <v>384.5</v>
      </c>
      <c r="EB58" s="166">
        <f t="shared" ref="EB58:ET58" si="76">SUM(EB55:EB57)</f>
        <v>100</v>
      </c>
      <c r="EC58" s="167">
        <f t="shared" si="76"/>
        <v>172</v>
      </c>
      <c r="ED58" s="167">
        <f t="shared" si="76"/>
        <v>126</v>
      </c>
      <c r="EE58" s="167">
        <f t="shared" si="76"/>
        <v>80</v>
      </c>
      <c r="EF58" s="168">
        <f t="shared" si="76"/>
        <v>74</v>
      </c>
      <c r="EG58" s="166">
        <f t="shared" si="76"/>
        <v>150</v>
      </c>
      <c r="EH58" s="167">
        <f t="shared" si="76"/>
        <v>48.333333333333329</v>
      </c>
      <c r="EI58" s="167">
        <f t="shared" si="76"/>
        <v>46.666666666666671</v>
      </c>
      <c r="EJ58" s="168">
        <f t="shared" si="76"/>
        <v>68.333333333333329</v>
      </c>
      <c r="EK58" s="166">
        <f t="shared" si="76"/>
        <v>137.5</v>
      </c>
      <c r="EL58" s="167">
        <f t="shared" si="76"/>
        <v>74.833333333333329</v>
      </c>
      <c r="EM58" s="167">
        <f t="shared" si="76"/>
        <v>55</v>
      </c>
      <c r="EN58" s="167">
        <f t="shared" si="76"/>
        <v>87.1</v>
      </c>
      <c r="EO58" s="168">
        <f t="shared" si="76"/>
        <v>124</v>
      </c>
      <c r="EP58" s="166">
        <f t="shared" si="76"/>
        <v>185.16666666666669</v>
      </c>
      <c r="EQ58" s="167">
        <f t="shared" si="76"/>
        <v>119.5</v>
      </c>
      <c r="ER58" s="167">
        <f t="shared" si="76"/>
        <v>0</v>
      </c>
      <c r="ES58" s="167">
        <f t="shared" si="76"/>
        <v>0</v>
      </c>
      <c r="ET58" s="168">
        <f t="shared" si="76"/>
        <v>0</v>
      </c>
      <c r="EV58" s="170">
        <f>SUM(EV55:EV57)</f>
        <v>2360</v>
      </c>
      <c r="EW58" s="170">
        <f>SUM(EW55:EW57)</f>
        <v>1590</v>
      </c>
      <c r="EX58" s="170">
        <f>SUM(EX55:EX57)</f>
        <v>1911.5</v>
      </c>
      <c r="EY58" s="171">
        <f>SUM(EY55:EY57)</f>
        <v>2350</v>
      </c>
      <c r="FA58" s="170">
        <f>SUM(FA55:FA57)</f>
        <v>110.39999999999999</v>
      </c>
      <c r="FB58" s="170">
        <f>SUM(FB55:FB57)</f>
        <v>78.333333333333329</v>
      </c>
      <c r="FC58" s="170">
        <f>SUM(FC55:FC57)</f>
        <v>95.686666666666667</v>
      </c>
      <c r="FD58" s="171">
        <f>SUM(FD55:FD57)</f>
        <v>152.33333333333334</v>
      </c>
    </row>
    <row r="59" spans="1:160">
      <c r="B59" s="172"/>
    </row>
    <row r="60" spans="1:160">
      <c r="B60" s="173" t="s">
        <v>142</v>
      </c>
    </row>
    <row r="61" spans="1:160">
      <c r="A61" s="174"/>
      <c r="B61" s="174" t="s">
        <v>20</v>
      </c>
      <c r="C61" s="174" t="s">
        <v>143</v>
      </c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4"/>
      <c r="AS61" s="174"/>
      <c r="AT61" s="174"/>
      <c r="AU61" s="174"/>
      <c r="AV61" s="174"/>
      <c r="AW61" s="174"/>
      <c r="AX61" s="174"/>
      <c r="AY61" s="174"/>
      <c r="AZ61" s="174"/>
      <c r="BA61" s="174"/>
      <c r="BB61" s="174"/>
      <c r="BC61" s="174"/>
      <c r="BD61" s="174"/>
      <c r="BE61" s="174"/>
      <c r="BF61" s="174"/>
      <c r="BG61" s="174"/>
      <c r="BH61" s="174"/>
      <c r="BI61" s="174"/>
      <c r="BJ61" s="174"/>
      <c r="BK61" s="174"/>
      <c r="BL61" s="174"/>
      <c r="BM61" s="174"/>
      <c r="BN61" s="174"/>
      <c r="BO61" s="174"/>
      <c r="BP61" s="174"/>
      <c r="BQ61" s="174"/>
      <c r="BR61" s="174"/>
      <c r="BS61" s="174"/>
      <c r="BT61" s="174"/>
      <c r="BU61" s="174"/>
      <c r="BV61" s="174"/>
      <c r="BW61" s="174"/>
      <c r="BX61" s="174"/>
      <c r="BY61" s="174"/>
      <c r="BZ61" s="174"/>
      <c r="CA61" s="174"/>
      <c r="CB61" s="174"/>
      <c r="CC61" s="174"/>
      <c r="CD61" s="174"/>
      <c r="CE61" s="174"/>
      <c r="CF61" s="174"/>
      <c r="CG61" s="174"/>
      <c r="CH61" s="174"/>
      <c r="CI61" s="174"/>
      <c r="CJ61" s="174"/>
      <c r="CK61" s="174"/>
      <c r="CL61" s="174"/>
      <c r="CM61" s="174"/>
      <c r="CN61" s="174"/>
      <c r="CO61" s="174"/>
      <c r="CP61" s="174"/>
      <c r="CQ61" s="174"/>
      <c r="CR61" s="174"/>
      <c r="CS61" s="174"/>
      <c r="CT61" s="174"/>
      <c r="CU61" s="174"/>
      <c r="CV61" s="174"/>
      <c r="CW61" s="174"/>
      <c r="CX61" s="174"/>
      <c r="CY61" s="174"/>
      <c r="CZ61" s="174"/>
      <c r="DA61" s="174"/>
      <c r="DB61" s="174"/>
      <c r="DC61" s="174"/>
      <c r="DD61" s="174"/>
      <c r="DE61" s="174"/>
      <c r="DF61" s="174"/>
      <c r="DG61" s="174"/>
      <c r="DH61" s="174"/>
      <c r="DI61" s="174"/>
      <c r="DJ61" s="174"/>
      <c r="DK61" s="174"/>
      <c r="DL61" s="174"/>
      <c r="DM61" s="174"/>
      <c r="DN61" s="174"/>
      <c r="DO61" s="174"/>
      <c r="DP61" s="174"/>
      <c r="DQ61" s="174"/>
      <c r="DR61" s="174"/>
      <c r="DS61" s="174"/>
      <c r="DT61" s="174"/>
      <c r="DU61" s="174"/>
      <c r="DV61" s="174"/>
      <c r="DW61" s="174"/>
      <c r="DX61" s="174"/>
      <c r="DY61" s="174"/>
      <c r="DZ61" s="174"/>
      <c r="EA61" s="174"/>
      <c r="EB61" s="174"/>
      <c r="EC61" s="174"/>
      <c r="ED61" s="174"/>
      <c r="EE61" s="174"/>
      <c r="EF61" s="174"/>
      <c r="EG61" s="174"/>
      <c r="EH61" s="174"/>
      <c r="EI61" s="174"/>
      <c r="EJ61" s="174"/>
      <c r="EK61" s="174"/>
      <c r="EL61" s="174"/>
      <c r="EM61" s="174"/>
      <c r="EN61" s="174"/>
      <c r="EO61" s="174"/>
      <c r="EP61" s="174"/>
      <c r="EQ61" s="174"/>
      <c r="ER61" s="174"/>
      <c r="ES61" s="174"/>
      <c r="ET61" s="174"/>
      <c r="EU61" s="174"/>
      <c r="EV61" s="174"/>
      <c r="EW61" s="174"/>
      <c r="EX61" s="174"/>
      <c r="EY61" s="174"/>
      <c r="EZ61" s="174"/>
      <c r="FA61" s="174"/>
      <c r="FB61" s="174"/>
      <c r="FC61" s="174"/>
      <c r="FD61" s="174"/>
    </row>
    <row r="62" spans="1:160">
      <c r="B62" s="175">
        <v>46027</v>
      </c>
      <c r="C62" s="63" t="s">
        <v>144</v>
      </c>
    </row>
    <row r="63" spans="1:160">
      <c r="B63" s="175">
        <v>46028</v>
      </c>
      <c r="C63" s="63" t="s">
        <v>145</v>
      </c>
      <c r="EB63" s="63">
        <v>130</v>
      </c>
      <c r="EC63" s="63">
        <v>84</v>
      </c>
      <c r="ED63" s="63">
        <f>+EC63-EB63</f>
        <v>-46</v>
      </c>
      <c r="EE63" s="176">
        <f>+ED63/EB63</f>
        <v>-0.35384615384615387</v>
      </c>
    </row>
    <row r="64" spans="1:160">
      <c r="B64" s="175">
        <v>46034</v>
      </c>
      <c r="C64" s="63" t="s">
        <v>146</v>
      </c>
      <c r="EB64" s="63">
        <v>110</v>
      </c>
      <c r="EC64" s="63">
        <v>83</v>
      </c>
      <c r="ED64" s="63">
        <f>+EC64-EB64</f>
        <v>-27</v>
      </c>
      <c r="EE64" s="176">
        <f>+ED64/EB64</f>
        <v>-0.24545454545454545</v>
      </c>
    </row>
    <row r="65" spans="2:3">
      <c r="B65" s="175">
        <v>46036</v>
      </c>
      <c r="C65" s="63" t="s">
        <v>147</v>
      </c>
    </row>
    <row r="66" spans="2:3">
      <c r="B66" s="175">
        <v>46041</v>
      </c>
      <c r="C66" s="63" t="s">
        <v>148</v>
      </c>
    </row>
    <row r="67" spans="2:3">
      <c r="B67" s="175">
        <v>46048</v>
      </c>
      <c r="C67" s="63" t="s">
        <v>149</v>
      </c>
    </row>
    <row r="68" spans="2:3">
      <c r="B68" s="175">
        <v>46052</v>
      </c>
      <c r="C68" s="63" t="s">
        <v>150</v>
      </c>
    </row>
    <row r="69" spans="2:3">
      <c r="B69" s="175">
        <v>46055</v>
      </c>
      <c r="C69" s="63" t="s">
        <v>151</v>
      </c>
    </row>
    <row r="70" spans="2:3">
      <c r="B70" s="175">
        <v>46056</v>
      </c>
      <c r="C70" s="63" t="s">
        <v>152</v>
      </c>
    </row>
    <row r="71" spans="2:3">
      <c r="B71" s="175">
        <v>46057</v>
      </c>
      <c r="C71" s="63" t="s">
        <v>152</v>
      </c>
    </row>
    <row r="72" spans="2:3">
      <c r="B72" s="175">
        <v>46058</v>
      </c>
      <c r="C72" s="63" t="s">
        <v>152</v>
      </c>
    </row>
    <row r="73" spans="2:3">
      <c r="B73" s="175">
        <v>46059</v>
      </c>
      <c r="C73" s="63" t="s">
        <v>152</v>
      </c>
    </row>
    <row r="74" spans="2:3">
      <c r="B74" s="175">
        <v>46062</v>
      </c>
      <c r="C74" s="63" t="s">
        <v>152</v>
      </c>
    </row>
    <row r="75" spans="2:3">
      <c r="B75" s="175">
        <v>46063</v>
      </c>
      <c r="C75" s="63" t="s">
        <v>152</v>
      </c>
    </row>
    <row r="76" spans="2:3">
      <c r="B76" s="175">
        <v>46064</v>
      </c>
      <c r="C76" s="63" t="s">
        <v>152</v>
      </c>
    </row>
    <row r="77" spans="2:3">
      <c r="B77" s="175">
        <v>46065</v>
      </c>
      <c r="C77" s="63" t="s">
        <v>152</v>
      </c>
    </row>
    <row r="78" spans="2:3">
      <c r="B78" s="175">
        <v>46066</v>
      </c>
      <c r="C78" s="63" t="s">
        <v>152</v>
      </c>
    </row>
    <row r="79" spans="2:3">
      <c r="B79" s="175">
        <v>46067</v>
      </c>
      <c r="C79" s="63" t="s">
        <v>152</v>
      </c>
    </row>
    <row r="80" spans="2:3">
      <c r="B80" s="175">
        <v>46069</v>
      </c>
      <c r="C80" s="63" t="s">
        <v>18</v>
      </c>
    </row>
    <row r="81" spans="2:3">
      <c r="B81" s="175">
        <v>46070</v>
      </c>
      <c r="C81" s="63" t="s">
        <v>18</v>
      </c>
    </row>
    <row r="82" spans="2:3">
      <c r="B82" s="175">
        <v>46071</v>
      </c>
      <c r="C82" s="63" t="s">
        <v>18</v>
      </c>
    </row>
    <row r="83" spans="2:3">
      <c r="B83" s="175">
        <v>46072</v>
      </c>
      <c r="C83" s="63" t="s">
        <v>152</v>
      </c>
    </row>
    <row r="84" spans="2:3">
      <c r="B84" s="175">
        <v>46073</v>
      </c>
      <c r="C84" s="63" t="s">
        <v>152</v>
      </c>
    </row>
    <row r="85" spans="2:3">
      <c r="B85" s="175">
        <v>46074</v>
      </c>
      <c r="C85" s="63" t="s">
        <v>152</v>
      </c>
    </row>
    <row r="86" spans="2:3">
      <c r="B86" s="175">
        <v>46076</v>
      </c>
      <c r="C86" s="63" t="s">
        <v>152</v>
      </c>
    </row>
    <row r="87" spans="2:3">
      <c r="B87" s="175">
        <v>46077</v>
      </c>
      <c r="C87" s="63" t="s">
        <v>152</v>
      </c>
    </row>
    <row r="88" spans="2:3">
      <c r="B88" s="175">
        <v>46078</v>
      </c>
      <c r="C88" s="63" t="s">
        <v>152</v>
      </c>
    </row>
    <row r="89" spans="2:3">
      <c r="B89" s="175">
        <v>46079</v>
      </c>
      <c r="C89" s="63" t="s">
        <v>152</v>
      </c>
    </row>
    <row r="90" spans="2:3">
      <c r="B90" s="175">
        <v>46080</v>
      </c>
      <c r="C90" s="63" t="s">
        <v>153</v>
      </c>
    </row>
    <row r="91" spans="2:3">
      <c r="B91" s="175">
        <v>46081</v>
      </c>
      <c r="C91" s="63" t="s">
        <v>18</v>
      </c>
    </row>
    <row r="92" spans="2:3">
      <c r="B92" s="175">
        <v>46082</v>
      </c>
      <c r="C92" s="63" t="s">
        <v>18</v>
      </c>
    </row>
    <row r="93" spans="2:3">
      <c r="B93" s="175">
        <v>46083</v>
      </c>
      <c r="C93" s="63" t="s">
        <v>18</v>
      </c>
    </row>
    <row r="94" spans="2:3">
      <c r="B94" s="175">
        <v>46084</v>
      </c>
      <c r="C94" s="63" t="s">
        <v>154</v>
      </c>
    </row>
    <row r="95" spans="2:3">
      <c r="B95" s="175">
        <v>46085</v>
      </c>
      <c r="C95" s="63" t="s">
        <v>155</v>
      </c>
    </row>
    <row r="96" spans="2:3">
      <c r="B96" s="175">
        <v>46086</v>
      </c>
      <c r="C96" s="63" t="s">
        <v>152</v>
      </c>
    </row>
    <row r="97" spans="2:3">
      <c r="B97" s="175">
        <v>46087</v>
      </c>
      <c r="C97" s="63" t="s">
        <v>152</v>
      </c>
    </row>
    <row r="98" spans="2:3">
      <c r="B98" s="175">
        <v>46088</v>
      </c>
      <c r="C98" s="63" t="s">
        <v>18</v>
      </c>
    </row>
    <row r="99" spans="2:3">
      <c r="B99" s="175">
        <v>46089</v>
      </c>
      <c r="C99" s="63" t="s">
        <v>18</v>
      </c>
    </row>
    <row r="100" spans="2:3">
      <c r="B100" s="175">
        <v>46090</v>
      </c>
      <c r="C100" s="63" t="s">
        <v>152</v>
      </c>
    </row>
    <row r="101" spans="2:3">
      <c r="B101" s="175">
        <v>46091</v>
      </c>
      <c r="C101" s="63" t="s">
        <v>152</v>
      </c>
    </row>
    <row r="102" spans="2:3">
      <c r="B102" s="175">
        <v>46092</v>
      </c>
      <c r="C102" s="63" t="s">
        <v>152</v>
      </c>
    </row>
    <row r="103" spans="2:3">
      <c r="B103" s="175">
        <v>46093</v>
      </c>
      <c r="C103" s="63" t="s">
        <v>156</v>
      </c>
    </row>
    <row r="104" spans="2:3">
      <c r="B104" s="175">
        <v>46094</v>
      </c>
      <c r="C104" s="63" t="s">
        <v>157</v>
      </c>
    </row>
    <row r="105" spans="2:3">
      <c r="B105" s="175">
        <v>46095</v>
      </c>
      <c r="C105" s="63" t="s">
        <v>152</v>
      </c>
    </row>
    <row r="106" spans="2:3">
      <c r="B106" s="175">
        <v>46096</v>
      </c>
      <c r="C106" s="63" t="s">
        <v>18</v>
      </c>
    </row>
    <row r="107" spans="2:3">
      <c r="B107" s="175">
        <v>46097</v>
      </c>
      <c r="C107" s="63" t="s">
        <v>152</v>
      </c>
    </row>
    <row r="108" spans="2:3">
      <c r="B108" s="175">
        <v>46098</v>
      </c>
      <c r="C108" s="63" t="s">
        <v>152</v>
      </c>
    </row>
    <row r="109" spans="2:3">
      <c r="B109" s="175">
        <v>46099</v>
      </c>
      <c r="C109" s="63" t="s">
        <v>152</v>
      </c>
    </row>
    <row r="110" spans="2:3">
      <c r="B110" s="175">
        <v>46100</v>
      </c>
      <c r="C110" s="63" t="s">
        <v>152</v>
      </c>
    </row>
    <row r="111" spans="2:3">
      <c r="B111" s="175">
        <v>46101</v>
      </c>
      <c r="C111" s="63" t="s">
        <v>152</v>
      </c>
    </row>
    <row r="112" spans="2:3">
      <c r="B112" s="175">
        <v>46102</v>
      </c>
      <c r="C112" s="63" t="s">
        <v>18</v>
      </c>
    </row>
    <row r="113" spans="2:3">
      <c r="B113" s="175">
        <v>46103</v>
      </c>
      <c r="C113" s="63" t="s">
        <v>18</v>
      </c>
    </row>
    <row r="114" spans="2:3">
      <c r="B114" s="175">
        <v>46104</v>
      </c>
      <c r="C114" s="63" t="s">
        <v>158</v>
      </c>
    </row>
    <row r="115" spans="2:3">
      <c r="B115" s="175">
        <v>46105</v>
      </c>
      <c r="C115" s="63" t="s">
        <v>152</v>
      </c>
    </row>
    <row r="116" spans="2:3">
      <c r="B116" s="175">
        <v>46106</v>
      </c>
      <c r="C116" s="63" t="s">
        <v>152</v>
      </c>
    </row>
    <row r="117" spans="2:3">
      <c r="B117" s="175">
        <v>46107</v>
      </c>
      <c r="C117" s="63" t="s">
        <v>152</v>
      </c>
    </row>
    <row r="118" spans="2:3">
      <c r="B118" s="175">
        <v>46108</v>
      </c>
      <c r="C118" s="63" t="s">
        <v>152</v>
      </c>
    </row>
    <row r="119" spans="2:3">
      <c r="B119" s="175">
        <v>46109</v>
      </c>
      <c r="C119" s="63" t="s">
        <v>18</v>
      </c>
    </row>
    <row r="120" spans="2:3">
      <c r="B120" s="175">
        <v>46110</v>
      </c>
      <c r="C120" s="63" t="s">
        <v>18</v>
      </c>
    </row>
    <row r="121" spans="2:3">
      <c r="B121" s="175">
        <v>46111</v>
      </c>
      <c r="C121" s="63" t="s">
        <v>152</v>
      </c>
    </row>
    <row r="122" spans="2:3">
      <c r="B122" s="175">
        <v>46112</v>
      </c>
      <c r="C122" s="63" t="s">
        <v>159</v>
      </c>
    </row>
    <row r="123" spans="2:3">
      <c r="B123" s="175">
        <v>46113</v>
      </c>
      <c r="C123" s="63" t="s">
        <v>160</v>
      </c>
    </row>
    <row r="124" spans="2:3">
      <c r="B124" s="175">
        <v>46114</v>
      </c>
      <c r="C124" s="63" t="s">
        <v>161</v>
      </c>
    </row>
    <row r="125" spans="2:3">
      <c r="B125" s="175">
        <v>46115</v>
      </c>
      <c r="C125" s="63" t="s">
        <v>162</v>
      </c>
    </row>
    <row r="126" spans="2:3">
      <c r="B126" s="175">
        <v>46116</v>
      </c>
      <c r="C126" s="63" t="s">
        <v>18</v>
      </c>
    </row>
    <row r="127" spans="2:3">
      <c r="B127" s="175">
        <v>46117</v>
      </c>
      <c r="C127" s="63" t="s">
        <v>163</v>
      </c>
    </row>
    <row r="128" spans="2:3">
      <c r="B128" s="175">
        <v>46118</v>
      </c>
      <c r="C128" s="63" t="s">
        <v>152</v>
      </c>
    </row>
    <row r="129" spans="2:3">
      <c r="B129" s="175">
        <v>46119</v>
      </c>
      <c r="C129" s="63" t="s">
        <v>164</v>
      </c>
    </row>
    <row r="130" spans="2:3">
      <c r="B130" s="175">
        <v>46120</v>
      </c>
      <c r="C130" s="63" t="s">
        <v>165</v>
      </c>
    </row>
    <row r="131" spans="2:3">
      <c r="B131" s="175">
        <v>46121</v>
      </c>
      <c r="C131" s="63" t="s">
        <v>152</v>
      </c>
    </row>
    <row r="132" spans="2:3">
      <c r="B132" s="175">
        <v>46122</v>
      </c>
      <c r="C132" s="63" t="s">
        <v>152</v>
      </c>
    </row>
    <row r="133" spans="2:3">
      <c r="B133" s="175">
        <v>46123</v>
      </c>
      <c r="C133" s="63" t="s">
        <v>18</v>
      </c>
    </row>
    <row r="134" spans="2:3">
      <c r="B134" s="175">
        <v>46124</v>
      </c>
      <c r="C134" s="63" t="s">
        <v>18</v>
      </c>
    </row>
    <row r="135" spans="2:3">
      <c r="B135" s="175">
        <v>46132</v>
      </c>
      <c r="C135" s="63" t="s">
        <v>152</v>
      </c>
    </row>
    <row r="136" spans="2:3">
      <c r="B136" s="175">
        <v>46133</v>
      </c>
      <c r="C136" s="63" t="s">
        <v>152</v>
      </c>
    </row>
    <row r="137" spans="2:3">
      <c r="B137" s="175">
        <v>46134</v>
      </c>
      <c r="C137" s="63" t="s">
        <v>152</v>
      </c>
    </row>
    <row r="138" spans="2:3">
      <c r="B138" s="175">
        <v>46135</v>
      </c>
      <c r="C138" s="63" t="s">
        <v>152</v>
      </c>
    </row>
    <row r="139" spans="2:3">
      <c r="B139" s="175">
        <v>46136</v>
      </c>
      <c r="C139" s="63" t="s">
        <v>152</v>
      </c>
    </row>
    <row r="140" spans="2:3">
      <c r="B140" s="175">
        <v>46137</v>
      </c>
      <c r="C140" s="63" t="s">
        <v>163</v>
      </c>
    </row>
    <row r="141" spans="2:3">
      <c r="B141" s="175">
        <v>46138</v>
      </c>
      <c r="C141" s="63" t="s">
        <v>18</v>
      </c>
    </row>
    <row r="142" spans="2:3">
      <c r="B142" s="175"/>
    </row>
    <row r="143" spans="2:3">
      <c r="B143" s="175"/>
    </row>
    <row r="144" spans="2:3">
      <c r="B144" s="175"/>
    </row>
    <row r="145" spans="2:2">
      <c r="B145" s="175"/>
    </row>
    <row r="146" spans="2:2">
      <c r="B146" s="175"/>
    </row>
    <row r="147" spans="2:2">
      <c r="B147" s="175"/>
    </row>
    <row r="148" spans="2:2">
      <c r="B148" s="175"/>
    </row>
    <row r="149" spans="2:2">
      <c r="B149" s="175"/>
    </row>
    <row r="150" spans="2:2">
      <c r="B150" s="175"/>
    </row>
    <row r="151" spans="2:2">
      <c r="B151" s="175"/>
    </row>
  </sheetData>
  <mergeCells count="12">
    <mergeCell ref="B58:C58"/>
    <mergeCell ref="B56:C56"/>
    <mergeCell ref="B57:C57"/>
    <mergeCell ref="B29:B34"/>
    <mergeCell ref="B53:C53"/>
    <mergeCell ref="B23:B28"/>
    <mergeCell ref="B55:C55"/>
    <mergeCell ref="B52:C52"/>
    <mergeCell ref="B16:C16"/>
    <mergeCell ref="B54:C54"/>
    <mergeCell ref="B17:B22"/>
    <mergeCell ref="B51:C51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E5SP TOP (Tape) (Jan)</vt:lpstr>
      <vt:lpstr>E5SP TOP (Tape) (Feb)</vt:lpstr>
      <vt:lpstr>E5SP TOP (Tape) (Mar)</vt:lpstr>
      <vt:lpstr>E5SP TOP (Tape) (Apr)</vt:lpstr>
      <vt:lpstr>Under-Achievement Reasons</vt:lpstr>
      <vt:lpstr>Automation Results (Jan-Apr)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SamJin</dc:creator>
  <cp:lastModifiedBy>Johnny Kim</cp:lastModifiedBy>
  <dcterms:created xsi:type="dcterms:W3CDTF">2026-04-27T00:55:27Z</dcterms:created>
  <dcterms:modified xsi:type="dcterms:W3CDTF">2026-04-29T14:28:47Z</dcterms:modified>
</cp:coreProperties>
</file>